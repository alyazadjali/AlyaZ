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Assumptions" sheetId="3" state="visible" r:id="rId5"/>
    <sheet name="Placements" sheetId="4" state="visible" r:id="rId6"/>
    <sheet name="Govt Deposi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Money-market convention: 360 for AED/USD/EUR; 365 for GBP etc. Assumption – confirm with Treasury.</t>
        </r>
      </text>
    </comment>
    <comment ref="E6" authorId="0">
      <text>
        <r>
          <rPr>
            <sz val="10"/>
            <rFont val="Arial"/>
            <family val="2"/>
          </rPr>
          <t xml:space="preserve">Scenario lever. 0 = base case. Enter 0.005 for +50bp, -0.005 for -50bp.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Net change = new placements/deposits minus maturities not rolled, per quarter. Positive = growth.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Net change = new placements/deposits minus maturities not rolled, per quarter. Positive = growth.</t>
        </r>
      </text>
    </comment>
  </commentList>
</comments>
</file>

<file path=xl/sharedStrings.xml><?xml version="1.0" encoding="utf-8"?>
<sst xmlns="http://schemas.openxmlformats.org/spreadsheetml/2006/main" count="121" uniqueCount="92">
  <si>
    <t xml:space="preserve">Interest Budget Model – Placements &amp; Government Deposits</t>
  </si>
  <si>
    <t xml:space="preserve">Budget horizon: Q4 2026 and FY 2027 (quarterly). Amounts in millions of local currency.</t>
  </si>
  <si>
    <t xml:space="preserve">HOW THE MODEL WORKS</t>
  </si>
  <si>
    <t xml:space="preserve">1. Assumptions: set the day-count basis, the benchmark rate path per quarter (e.g., EIBOR / SOFR / policy rate) and an optional rate shock.</t>
  </si>
  <si>
    <t xml:space="preserve">2. Placements (asset side): list each bank counterparty, its opening balance at 30-Sep-2026, rate type (Fixed/Floating), fixed rate or spread, and the planned net change in balance each quarter.</t>
  </si>
  <si>
    <t xml:space="preserve">3. Govt Deposits (liability side): same structure for Ministry of Finance / government entity deposits. Spreads can be negative (deposits priced below benchmark).</t>
  </si>
  <si>
    <t xml:space="preserve">4. The model computes closing balance -&gt; average balance -&gt; effective rate -&gt; interest = Average balance x Rate x Days / Day-count basis.</t>
  </si>
  <si>
    <t xml:space="preserve">5. Summary: quarterly interest income, interest expense, net interest, yields/costs, totals for Q4-2026 and FY-2027, plus a +100bp sensitivity.</t>
  </si>
  <si>
    <t xml:space="preserve">LEGEND</t>
  </si>
  <si>
    <t xml:space="preserve">Blue text = hardcoded input (edit these)</t>
  </si>
  <si>
    <t xml:space="preserve">Black text = formula (do not edit)</t>
  </si>
  <si>
    <t xml:space="preserve">Green text = link from another sheet</t>
  </si>
  <si>
    <t xml:space="preserve">Yellow fill = key assumption to review/confirm</t>
  </si>
  <si>
    <t xml:space="preserve">NOTES</t>
  </si>
  <si>
    <t xml:space="preserve">• All example balances, rates and spreads are ILLUSTRATIVE placeholders – replace with your actual 30-Sep-2026 book and Treasury/ALCO rate view.</t>
  </si>
  <si>
    <t xml:space="preserve">• Fixed-rate items keep their fixed rate for the whole horizon; if a fixed placement matures and rolls, switch it to Floating or add a new line for the rollover.</t>
  </si>
  <si>
    <t xml:space="preserve">• Rate shock (Assumptions) applies only to Floating lines – use it for scenario budgeting (e.g., +/-50bp).</t>
  </si>
  <si>
    <t xml:space="preserve">• Average balance = simple average of opening and closing balance for the quarter (assumes balance changes evenly through the quarter).</t>
  </si>
  <si>
    <t xml:space="preserve">Budget Summary – Interest on Placements &amp; Government Deposits</t>
  </si>
  <si>
    <t xml:space="preserve">Amounts in millions of local currency.</t>
  </si>
  <si>
    <t xml:space="preserve">Line item</t>
  </si>
  <si>
    <t xml:space="preserve">FY-2027</t>
  </si>
  <si>
    <t xml:space="preserve">Q4-26 + FY-27</t>
  </si>
  <si>
    <t xml:space="preserve">Placements with banks</t>
  </si>
  <si>
    <t xml:space="preserve">   Average balance</t>
  </si>
  <si>
    <t xml:space="preserve">   Interest income</t>
  </si>
  <si>
    <t xml:space="preserve">   Average yield</t>
  </si>
  <si>
    <t xml:space="preserve">Government deposits</t>
  </si>
  <si>
    <t xml:space="preserve">   Interest expense</t>
  </si>
  <si>
    <t xml:space="preserve">   Average cost</t>
  </si>
  <si>
    <t xml:space="preserve">Net interest contribution</t>
  </si>
  <si>
    <t xml:space="preserve">   Interest income – interest expense</t>
  </si>
  <si>
    <t xml:space="preserve">   Spread (yield – cost)</t>
  </si>
  <si>
    <t xml:space="preserve">   Funding gap (placements – govt deposits avg bal.)</t>
  </si>
  <si>
    <t xml:space="preserve">Sensitivity: parallel rate move on Floating lines</t>
  </si>
  <si>
    <t xml:space="preserve">   Rate move (bp, decimal)</t>
  </si>
  <si>
    <t xml:space="preserve">   Change in interest income (floating placements)</t>
  </si>
  <si>
    <t xml:space="preserve">   Change in interest expense (floating govt deposits)</t>
  </si>
  <si>
    <t xml:space="preserve">   Change in net interest</t>
  </si>
  <si>
    <t xml:space="preserve">Q4-2026 = column F; FY-2027 = sum of Q1–Q4 2027. Change the Assumptions sheet (benchmark path, shock) to run scenarios.</t>
  </si>
  <si>
    <t xml:space="preserve">Assumptions</t>
  </si>
  <si>
    <t xml:space="preserve">Rates stored as decimals (3.90% = 0.039).</t>
  </si>
  <si>
    <t xml:space="preserve">General</t>
  </si>
  <si>
    <t xml:space="preserve">Day-count basis (days)</t>
  </si>
  <si>
    <t xml:space="preserve">Rate shock on Floating lines (bp, decimal)</t>
  </si>
  <si>
    <t xml:space="preserve">Opening balance date</t>
  </si>
  <si>
    <t xml:space="preserve">Quarterly periods</t>
  </si>
  <si>
    <t xml:space="preserve">Period</t>
  </si>
  <si>
    <t xml:space="preserve">Q4-2026</t>
  </si>
  <si>
    <t xml:space="preserve">Q1-2027</t>
  </si>
  <si>
    <t xml:space="preserve">Q2-2027</t>
  </si>
  <si>
    <t xml:space="preserve">Q3-2027</t>
  </si>
  <si>
    <t xml:space="preserve">Q4-2027</t>
  </si>
  <si>
    <t xml:space="preserve">Start date</t>
  </si>
  <si>
    <t xml:space="preserve">End date</t>
  </si>
  <si>
    <t xml:space="preserve">Days in period</t>
  </si>
  <si>
    <t xml:space="preserve">Benchmark rate (e.g., 3M EIBOR / SOFR)</t>
  </si>
  <si>
    <t xml:space="preserve">Source: illustrative placeholder path – replace with Treasury/ALCO house view or market forward curve.</t>
  </si>
  <si>
    <t xml:space="preserve">Interest Income – Placements with Other Banks</t>
  </si>
  <si>
    <t xml:space="preserve">Amounts in millions of local currency. Rates as decimals.</t>
  </si>
  <si>
    <t xml:space="preserve">1. Inputs – counterparty terms and planned net change in balance</t>
  </si>
  <si>
    <t xml:space="preserve">Counterparty</t>
  </si>
  <si>
    <t xml:space="preserve">Rate type</t>
  </si>
  <si>
    <t xml:space="preserve">Fixed rate</t>
  </si>
  <si>
    <t xml:space="preserve">Spread vs benchmark</t>
  </si>
  <si>
    <t xml:space="preserve">Opening bal. 30-Sep-26</t>
  </si>
  <si>
    <t xml:space="preserve">Bank A – 3M term placement</t>
  </si>
  <si>
    <t xml:space="preserve">Floating</t>
  </si>
  <si>
    <t xml:space="preserve">Bank B – 6M fixed placement</t>
  </si>
  <si>
    <t xml:space="preserve">Fixed</t>
  </si>
  <si>
    <t xml:space="preserve">Bank C – call / overnight</t>
  </si>
  <si>
    <t xml:space="preserve">Counterparty 4</t>
  </si>
  <si>
    <t xml:space="preserve">Counterparty 5</t>
  </si>
  <si>
    <t xml:space="preserve">Total</t>
  </si>
  <si>
    <t xml:space="preserve">2. Closing balance</t>
  </si>
  <si>
    <t xml:space="preserve">Year-end</t>
  </si>
  <si>
    <t xml:space="preserve">Total closing balance</t>
  </si>
  <si>
    <t xml:space="preserve">3. Average balance for the quarter</t>
  </si>
  <si>
    <t xml:space="preserve">FY-2027 avg</t>
  </si>
  <si>
    <t xml:space="preserve">Total average balance</t>
  </si>
  <si>
    <t xml:space="preserve">4. Effective interest rate (annualised)</t>
  </si>
  <si>
    <t xml:space="preserve">Weighted average rate</t>
  </si>
  <si>
    <t xml:space="preserve">5. Interest income</t>
  </si>
  <si>
    <t xml:space="preserve">Total interest income</t>
  </si>
  <si>
    <t xml:space="preserve">Interest Expense – Government Deposits</t>
  </si>
  <si>
    <t xml:space="preserve">Ministry of Finance – term deposit</t>
  </si>
  <si>
    <t xml:space="preserve">Govt entity X – floating deposit</t>
  </si>
  <si>
    <t xml:space="preserve">Govt-related entity – call account</t>
  </si>
  <si>
    <t xml:space="preserve">Depositor 4</t>
  </si>
  <si>
    <t xml:space="preserve">Depositor 5</t>
  </si>
  <si>
    <t xml:space="preserve">5. Interest expense</t>
  </si>
  <si>
    <t xml:space="preserve">Total interest expense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</si>
</sst>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0.00%;\(0.00%\);\-"/>
    <numFmt numFmtId="167" formatCode="dd\-mmm\-yyyy"/>
    <numFmt numFmtId="168" formatCode="dd\-mmm\-yy"/>
    <numFmt numFmtId="169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2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5" t="s">
        <v>11</v>
      </c>
    </row>
    <row r="15" customFormat="false" ht="15" hidden="false" customHeight="false" outlineLevel="0" collapsed="false">
      <c r="A15" s="6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2"/>
    <col collapsed="false" customWidth="true" hidden="false" outlineLevel="0" max="5" min="5" style="0" width="10"/>
    <col collapsed="false" customWidth="true" hidden="false" outlineLevel="0" max="12" min="6" style="0" width="13"/>
  </cols>
  <sheetData>
    <row r="1" customFormat="false" ht="17.35" hidden="false" customHeight="false" outlineLevel="0" collapsed="false">
      <c r="A1" s="1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15" hidden="false" customHeight="false" outlineLevel="0" collapsed="false">
      <c r="A2" s="8" t="s">
        <v>19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customFormat="false" ht="15" hidden="false" customHeight="false" outlineLevel="0" collapsed="false">
      <c r="A4" s="9" t="s">
        <v>20</v>
      </c>
      <c r="B4" s="10"/>
      <c r="C4" s="10"/>
      <c r="D4" s="10"/>
      <c r="E4" s="10"/>
      <c r="F4" s="11" t="str">
        <f aca="false">Assumptions!F$10</f>
        <v>Q4-2026</v>
      </c>
      <c r="G4" s="11" t="str">
        <f aca="false">Assumptions!G$10</f>
        <v>Q1-2027</v>
      </c>
      <c r="H4" s="11" t="str">
        <f aca="false">Assumptions!H$10</f>
        <v>Q2-2027</v>
      </c>
      <c r="I4" s="11" t="str">
        <f aca="false">Assumptions!I$10</f>
        <v>Q3-2027</v>
      </c>
      <c r="J4" s="11" t="str">
        <f aca="false">Assumptions!J$10</f>
        <v>Q4-2027</v>
      </c>
      <c r="K4" s="11" t="s">
        <v>21</v>
      </c>
      <c r="L4" s="11" t="s">
        <v>22</v>
      </c>
    </row>
    <row r="5" customFormat="false" ht="15" hidden="false" customHeight="false" outlineLevel="0" collapsed="false">
      <c r="A5" s="12" t="s">
        <v>23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15" hidden="false" customHeight="false" outlineLevel="0" collapsed="false">
      <c r="A6" s="7" t="s">
        <v>24</v>
      </c>
      <c r="B6" s="7"/>
      <c r="C6" s="7"/>
      <c r="D6" s="7"/>
      <c r="E6" s="7"/>
      <c r="F6" s="14" t="n">
        <f aca="false">Placements!F27</f>
        <v>1000</v>
      </c>
      <c r="G6" s="14" t="n">
        <f aca="false">Placements!G27</f>
        <v>962.5</v>
      </c>
      <c r="H6" s="14" t="n">
        <f aca="false">Placements!H27</f>
        <v>950</v>
      </c>
      <c r="I6" s="14" t="n">
        <f aca="false">Placements!I27</f>
        <v>975</v>
      </c>
      <c r="J6" s="14" t="n">
        <f aca="false">Placements!J27</f>
        <v>987.5</v>
      </c>
      <c r="K6" s="14" t="n">
        <f aca="false">Placements!K27</f>
        <v>968.835616438356</v>
      </c>
      <c r="L6" s="7"/>
    </row>
    <row r="7" customFormat="false" ht="15" hidden="false" customHeight="false" outlineLevel="0" collapsed="false">
      <c r="A7" s="7" t="s">
        <v>25</v>
      </c>
      <c r="B7" s="7"/>
      <c r="C7" s="7"/>
      <c r="D7" s="7"/>
      <c r="E7" s="7"/>
      <c r="F7" s="14" t="n">
        <f aca="false">Placements!F43</f>
        <v>10.3436111111111</v>
      </c>
      <c r="G7" s="14" t="n">
        <f aca="false">Placements!G43</f>
        <v>9.484375</v>
      </c>
      <c r="H7" s="14" t="n">
        <f aca="false">Placements!H43</f>
        <v>9.13475694444445</v>
      </c>
      <c r="I7" s="14" t="n">
        <f aca="false">Placements!I43</f>
        <v>9.26708333333333</v>
      </c>
      <c r="J7" s="14" t="n">
        <f aca="false">Placements!J43</f>
        <v>9.386875</v>
      </c>
      <c r="K7" s="14" t="n">
        <f aca="false">Placements!K43</f>
        <v>37.2730902777778</v>
      </c>
      <c r="L7" s="15" t="n">
        <f aca="false">F7+K7</f>
        <v>47.6167013888889</v>
      </c>
    </row>
    <row r="8" customFormat="false" ht="15" hidden="false" customHeight="false" outlineLevel="0" collapsed="false">
      <c r="A8" s="7" t="s">
        <v>26</v>
      </c>
      <c r="B8" s="7"/>
      <c r="C8" s="7"/>
      <c r="D8" s="7"/>
      <c r="E8" s="7"/>
      <c r="F8" s="16" t="n">
        <f aca="false">Placements!F35</f>
        <v>0.040475</v>
      </c>
      <c r="G8" s="16" t="n">
        <f aca="false">Placements!G35</f>
        <v>0.0394155844155844</v>
      </c>
      <c r="H8" s="16" t="n">
        <f aca="false">Placements!H35</f>
        <v>0.0380394736842105</v>
      </c>
      <c r="I8" s="16" t="n">
        <f aca="false">Placements!I35</f>
        <v>0.0371923076923077</v>
      </c>
      <c r="J8" s="16" t="n">
        <f aca="false">Placements!J35</f>
        <v>0.0371962025316456</v>
      </c>
      <c r="K8" s="16" t="n">
        <f aca="false">Placements!K35</f>
        <v>0.0379450335807706</v>
      </c>
      <c r="L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customFormat="false" ht="15" hidden="false" customHeight="false" outlineLevel="0" collapsed="false">
      <c r="A10" s="12" t="s">
        <v>27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customFormat="false" ht="15" hidden="false" customHeight="false" outlineLevel="0" collapsed="false">
      <c r="A11" s="7" t="s">
        <v>24</v>
      </c>
      <c r="B11" s="7"/>
      <c r="C11" s="7"/>
      <c r="D11" s="7"/>
      <c r="E11" s="7"/>
      <c r="F11" s="14" t="n">
        <f aca="false">'Govt Deposits'!F27</f>
        <v>1900</v>
      </c>
      <c r="G11" s="14" t="n">
        <f aca="false">'Govt Deposits'!G27</f>
        <v>1950</v>
      </c>
      <c r="H11" s="14" t="n">
        <f aca="false">'Govt Deposits'!H27</f>
        <v>1850</v>
      </c>
      <c r="I11" s="14" t="n">
        <f aca="false">'Govt Deposits'!I27</f>
        <v>1775</v>
      </c>
      <c r="J11" s="14" t="n">
        <f aca="false">'Govt Deposits'!J27</f>
        <v>1800</v>
      </c>
      <c r="K11" s="14" t="n">
        <f aca="false">'Govt Deposits'!K27</f>
        <v>1843.15068493151</v>
      </c>
      <c r="L11" s="7"/>
    </row>
    <row r="12" customFormat="false" ht="15" hidden="false" customHeight="false" outlineLevel="0" collapsed="false">
      <c r="A12" s="7" t="s">
        <v>28</v>
      </c>
      <c r="B12" s="7"/>
      <c r="C12" s="7"/>
      <c r="D12" s="7"/>
      <c r="E12" s="7"/>
      <c r="F12" s="14" t="n">
        <f aca="false">'Govt Deposits'!F43</f>
        <v>16.3491666666667</v>
      </c>
      <c r="G12" s="14" t="n">
        <f aca="false">'Govt Deposits'!G43</f>
        <v>16.1875</v>
      </c>
      <c r="H12" s="14" t="n">
        <f aca="false">'Govt Deposits'!H43</f>
        <v>15.1161111111111</v>
      </c>
      <c r="I12" s="14" t="n">
        <f aca="false">'Govt Deposits'!I43</f>
        <v>14.3143055555556</v>
      </c>
      <c r="J12" s="14" t="n">
        <f aca="false">'Govt Deposits'!J43</f>
        <v>14.5219444444444</v>
      </c>
      <c r="K12" s="14" t="n">
        <f aca="false">'Govt Deposits'!K43</f>
        <v>60.1398611111111</v>
      </c>
      <c r="L12" s="15" t="n">
        <f aca="false">F12+K12</f>
        <v>76.4890277777778</v>
      </c>
    </row>
    <row r="13" customFormat="false" ht="15" hidden="false" customHeight="false" outlineLevel="0" collapsed="false">
      <c r="A13" s="7" t="s">
        <v>29</v>
      </c>
      <c r="B13" s="7"/>
      <c r="C13" s="7"/>
      <c r="D13" s="7"/>
      <c r="E13" s="7"/>
      <c r="F13" s="16" t="n">
        <f aca="false">'Govt Deposits'!F35</f>
        <v>0.0336710526315789</v>
      </c>
      <c r="G13" s="16" t="n">
        <f aca="false">'Govt Deposits'!G35</f>
        <v>0.0332051282051282</v>
      </c>
      <c r="H13" s="16" t="n">
        <f aca="false">'Govt Deposits'!H35</f>
        <v>0.0323243243243243</v>
      </c>
      <c r="I13" s="16" t="n">
        <f aca="false">'Govt Deposits'!I35</f>
        <v>0.031556338028169</v>
      </c>
      <c r="J13" s="16" t="n">
        <f aca="false">'Govt Deposits'!J35</f>
        <v>0.0315694444444444</v>
      </c>
      <c r="K13" s="16" t="n">
        <f aca="false">'Govt Deposits'!K35</f>
        <v>0.0321818654775177</v>
      </c>
      <c r="L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customFormat="false" ht="15" hidden="false" customHeight="false" outlineLevel="0" collapsed="false">
      <c r="A15" s="12" t="s">
        <v>30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customFormat="false" ht="15" hidden="false" customHeight="false" outlineLevel="0" collapsed="false">
      <c r="A16" s="7" t="s">
        <v>31</v>
      </c>
      <c r="B16" s="7"/>
      <c r="C16" s="7"/>
      <c r="D16" s="7"/>
      <c r="E16" s="7"/>
      <c r="F16" s="17" t="n">
        <f aca="false">F7-F12</f>
        <v>-6.00555555555556</v>
      </c>
      <c r="G16" s="17" t="n">
        <f aca="false">G7-G12</f>
        <v>-6.703125</v>
      </c>
      <c r="H16" s="17" t="n">
        <f aca="false">H7-H12</f>
        <v>-5.98135416666666</v>
      </c>
      <c r="I16" s="17" t="n">
        <f aca="false">I7-I12</f>
        <v>-5.04722222222222</v>
      </c>
      <c r="J16" s="17" t="n">
        <f aca="false">J7-J12</f>
        <v>-5.13506944444444</v>
      </c>
      <c r="K16" s="17" t="n">
        <f aca="false">K7-K12</f>
        <v>-22.8667708333333</v>
      </c>
      <c r="L16" s="17" t="n">
        <f aca="false">L7-L12</f>
        <v>-28.8723263888889</v>
      </c>
    </row>
    <row r="17" customFormat="false" ht="15" hidden="false" customHeight="false" outlineLevel="0" collapsed="false">
      <c r="A17" s="7" t="s">
        <v>32</v>
      </c>
      <c r="B17" s="7"/>
      <c r="C17" s="7"/>
      <c r="D17" s="7"/>
      <c r="E17" s="7"/>
      <c r="F17" s="18" t="n">
        <f aca="false">F8-F13</f>
        <v>0.00680394736842106</v>
      </c>
      <c r="G17" s="18" t="n">
        <f aca="false">G8-G13</f>
        <v>0.00621045621045621</v>
      </c>
      <c r="H17" s="18" t="n">
        <f aca="false">H8-H13</f>
        <v>0.00571514935988621</v>
      </c>
      <c r="I17" s="18" t="n">
        <f aca="false">I8-I13</f>
        <v>0.00563596966413867</v>
      </c>
      <c r="J17" s="18" t="n">
        <f aca="false">J8-J13</f>
        <v>0.00562675808720114</v>
      </c>
      <c r="K17" s="18" t="n">
        <f aca="false">K8-K13</f>
        <v>0.00576316810325294</v>
      </c>
      <c r="L17" s="7"/>
    </row>
    <row r="18" customFormat="false" ht="15" hidden="false" customHeight="false" outlineLevel="0" collapsed="false">
      <c r="A18" s="7" t="s">
        <v>33</v>
      </c>
      <c r="B18" s="7"/>
      <c r="C18" s="7"/>
      <c r="D18" s="7"/>
      <c r="E18" s="7"/>
      <c r="F18" s="15" t="n">
        <f aca="false">F6-F11</f>
        <v>-900</v>
      </c>
      <c r="G18" s="15" t="n">
        <f aca="false">G6-G11</f>
        <v>-987.5</v>
      </c>
      <c r="H18" s="15" t="n">
        <f aca="false">H6-H11</f>
        <v>-900</v>
      </c>
      <c r="I18" s="15" t="n">
        <f aca="false">I6-I11</f>
        <v>-800</v>
      </c>
      <c r="J18" s="15" t="n">
        <f aca="false">J6-J11</f>
        <v>-812.5</v>
      </c>
      <c r="K18" s="15" t="n">
        <f aca="false">K6-K11</f>
        <v>-874.315068493151</v>
      </c>
      <c r="L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customFormat="false" ht="15" hidden="false" customHeight="false" outlineLevel="0" collapsed="false">
      <c r="A20" s="12" t="s">
        <v>34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customFormat="false" ht="15" hidden="false" customHeight="false" outlineLevel="0" collapsed="false">
      <c r="A21" s="7" t="s">
        <v>35</v>
      </c>
      <c r="B21" s="7"/>
      <c r="C21" s="7"/>
      <c r="D21" s="7"/>
      <c r="E21" s="19" t="n">
        <v>0.01</v>
      </c>
      <c r="F21" s="7"/>
      <c r="G21" s="7"/>
      <c r="H21" s="7"/>
      <c r="I21" s="7"/>
      <c r="J21" s="7"/>
      <c r="K21" s="7"/>
      <c r="L21" s="7"/>
    </row>
    <row r="22" customFormat="false" ht="15" hidden="false" customHeight="false" outlineLevel="0" collapsed="false">
      <c r="A22" s="7" t="s">
        <v>36</v>
      </c>
      <c r="B22" s="7"/>
      <c r="C22" s="7"/>
      <c r="D22" s="7"/>
      <c r="E22" s="7"/>
      <c r="F22" s="15" t="n">
        <f aca="false">SUMIF(Placements!$B$6:$B$10,"Floating",Placements!F$22:F$26)*$E$21*Assumptions!F$13/Assumptions!$E$5</f>
        <v>1.78888888888889</v>
      </c>
      <c r="G22" s="15" t="n">
        <f aca="false">SUMIF(Placements!$B$6:$B$10,"Floating",Placements!G$22:G$26)*$E$21*Assumptions!G$13/Assumptions!$E$5</f>
        <v>1.78125</v>
      </c>
      <c r="H22" s="15" t="n">
        <f aca="false">SUMIF(Placements!$B$6:$B$10,"Floating",Placements!H$22:H$26)*$E$21*Assumptions!H$13/Assumptions!$E$5</f>
        <v>1.89583333333333</v>
      </c>
      <c r="I22" s="15" t="n">
        <f aca="false">SUMIF(Placements!$B$6:$B$10,"Floating",Placements!I$22:I$26)*$E$21*Assumptions!I$13/Assumptions!$E$5</f>
        <v>1.98055555555556</v>
      </c>
      <c r="J22" s="15" t="n">
        <f aca="false">SUMIF(Placements!$B$6:$B$10,"Floating",Placements!J$22:J$26)*$E$21*Assumptions!J$13/Assumptions!$E$5</f>
        <v>2.0125</v>
      </c>
      <c r="K22" s="15" t="n">
        <f aca="false">SUM(G22:J22)</f>
        <v>7.67013888888889</v>
      </c>
      <c r="L22" s="15" t="n">
        <f aca="false">F22+K22</f>
        <v>9.45902777777778</v>
      </c>
    </row>
    <row r="23" customFormat="false" ht="15" hidden="false" customHeight="false" outlineLevel="0" collapsed="false">
      <c r="A23" s="7" t="s">
        <v>37</v>
      </c>
      <c r="B23" s="7"/>
      <c r="C23" s="7"/>
      <c r="D23" s="7"/>
      <c r="E23" s="7"/>
      <c r="F23" s="15" t="n">
        <f aca="false">SUMIF('Govt Deposits'!$B$6:$B$10,"Floating",'Govt Deposits'!F$22:F$26)*$E$21*Assumptions!F$13/Assumptions!$E$5</f>
        <v>1.66111111111111</v>
      </c>
      <c r="G23" s="15" t="n">
        <f aca="false">SUMIF('Govt Deposits'!$B$6:$B$10,"Floating",'Govt Deposits'!G$22:G$26)*$E$21*Assumptions!G$13/Assumptions!$E$5</f>
        <v>1.75</v>
      </c>
      <c r="H23" s="15" t="n">
        <f aca="false">SUMIF('Govt Deposits'!$B$6:$B$10,"Floating",'Govt Deposits'!H$22:H$26)*$E$21*Assumptions!H$13/Assumptions!$E$5</f>
        <v>1.76944444444444</v>
      </c>
      <c r="I23" s="15" t="n">
        <f aca="false">SUMIF('Govt Deposits'!$B$6:$B$10,"Floating",'Govt Deposits'!I$22:I$26)*$E$21*Assumptions!I$13/Assumptions!$E$5</f>
        <v>1.85277777777778</v>
      </c>
      <c r="J23" s="15" t="n">
        <f aca="false">SUMIF('Govt Deposits'!$B$6:$B$10,"Floating",'Govt Deposits'!J$22:J$26)*$E$21*Assumptions!J$13/Assumptions!$E$5</f>
        <v>1.91666666666667</v>
      </c>
      <c r="K23" s="15" t="n">
        <f aca="false">SUM(G23:J23)</f>
        <v>7.28888888888889</v>
      </c>
      <c r="L23" s="15" t="n">
        <f aca="false">F23+K23</f>
        <v>8.95</v>
      </c>
    </row>
    <row r="24" customFormat="false" ht="15" hidden="false" customHeight="false" outlineLevel="0" collapsed="false">
      <c r="A24" s="20" t="s">
        <v>38</v>
      </c>
      <c r="B24" s="20"/>
      <c r="C24" s="20"/>
      <c r="D24" s="20"/>
      <c r="E24" s="20"/>
      <c r="F24" s="21" t="n">
        <f aca="false">F22-F23</f>
        <v>0.127777777777778</v>
      </c>
      <c r="G24" s="21" t="n">
        <f aca="false">G22-G23</f>
        <v>0.03125</v>
      </c>
      <c r="H24" s="21" t="n">
        <f aca="false">H22-H23</f>
        <v>0.126388888888889</v>
      </c>
      <c r="I24" s="21" t="n">
        <f aca="false">I22-I23</f>
        <v>0.127777777777778</v>
      </c>
      <c r="J24" s="21" t="n">
        <f aca="false">J22-J23</f>
        <v>0.0958333333333334</v>
      </c>
      <c r="K24" s="21" t="n">
        <f aca="false">SUM(G24:J24)</f>
        <v>0.38125</v>
      </c>
      <c r="L24" s="21" t="n">
        <f aca="false">F24+K24</f>
        <v>0.509027777777778</v>
      </c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customFormat="false" ht="15" hidden="false" customHeight="false" outlineLevel="0" collapsed="false">
      <c r="A26" s="22" t="s">
        <v>39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3"/>
    <col collapsed="false" customWidth="true" hidden="false" outlineLevel="0" max="5" min="5" style="0" width="14"/>
    <col collapsed="false" customWidth="true" hidden="false" outlineLevel="0" max="10" min="6" style="0" width="12"/>
  </cols>
  <sheetData>
    <row r="1" customFormat="false" ht="17.35" hidden="false" customHeight="false" outlineLevel="0" collapsed="false">
      <c r="A1" s="1" t="s">
        <v>40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5" hidden="false" customHeight="false" outlineLevel="0" collapsed="false">
      <c r="A2" s="8" t="s">
        <v>41</v>
      </c>
      <c r="B2" s="7"/>
      <c r="C2" s="7"/>
      <c r="D2" s="7"/>
      <c r="E2" s="7"/>
      <c r="F2" s="7"/>
      <c r="G2" s="7"/>
      <c r="H2" s="7"/>
      <c r="I2" s="7"/>
      <c r="J2" s="7"/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</row>
    <row r="4" customFormat="false" ht="15" hidden="false" customHeight="false" outlineLevel="0" collapsed="false">
      <c r="A4" s="12" t="s">
        <v>42</v>
      </c>
      <c r="B4" s="7"/>
      <c r="C4" s="7"/>
      <c r="D4" s="7"/>
      <c r="E4" s="7"/>
      <c r="F4" s="7"/>
      <c r="G4" s="7"/>
      <c r="H4" s="7"/>
      <c r="I4" s="7"/>
      <c r="J4" s="7"/>
    </row>
    <row r="5" customFormat="false" ht="15" hidden="false" customHeight="false" outlineLevel="0" collapsed="false">
      <c r="A5" s="7" t="s">
        <v>43</v>
      </c>
      <c r="B5" s="7"/>
      <c r="C5" s="7"/>
      <c r="D5" s="7"/>
      <c r="E5" s="23" t="n">
        <v>360</v>
      </c>
      <c r="F5" s="7"/>
      <c r="G5" s="7"/>
      <c r="H5" s="7"/>
      <c r="I5" s="7"/>
      <c r="J5" s="7"/>
    </row>
    <row r="6" customFormat="false" ht="15" hidden="false" customHeight="false" outlineLevel="0" collapsed="false">
      <c r="A6" s="7" t="s">
        <v>44</v>
      </c>
      <c r="B6" s="7"/>
      <c r="C6" s="7"/>
      <c r="D6" s="7"/>
      <c r="E6" s="19" t="n">
        <v>0</v>
      </c>
      <c r="F6" s="7"/>
      <c r="G6" s="7"/>
      <c r="H6" s="7"/>
      <c r="I6" s="7"/>
      <c r="J6" s="7"/>
    </row>
    <row r="7" customFormat="false" ht="15" hidden="false" customHeight="false" outlineLevel="0" collapsed="false">
      <c r="A7" s="7" t="s">
        <v>45</v>
      </c>
      <c r="B7" s="7"/>
      <c r="C7" s="7"/>
      <c r="D7" s="7"/>
      <c r="E7" s="24" t="n">
        <v>46295</v>
      </c>
      <c r="F7" s="7"/>
      <c r="G7" s="7"/>
      <c r="H7" s="7"/>
      <c r="I7" s="7"/>
      <c r="J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</row>
    <row r="9" customFormat="false" ht="15" hidden="false" customHeight="false" outlineLevel="0" collapsed="false">
      <c r="A9" s="12" t="s">
        <v>46</v>
      </c>
      <c r="B9" s="13"/>
      <c r="C9" s="13"/>
      <c r="D9" s="13"/>
      <c r="E9" s="13"/>
      <c r="F9" s="13"/>
      <c r="G9" s="13"/>
      <c r="H9" s="13"/>
      <c r="I9" s="13"/>
      <c r="J9" s="13"/>
    </row>
    <row r="10" customFormat="false" ht="15" hidden="false" customHeight="false" outlineLevel="0" collapsed="false">
      <c r="A10" s="7" t="s">
        <v>47</v>
      </c>
      <c r="B10" s="7"/>
      <c r="C10" s="7"/>
      <c r="D10" s="7"/>
      <c r="E10" s="7"/>
      <c r="F10" s="25" t="s">
        <v>48</v>
      </c>
      <c r="G10" s="25" t="s">
        <v>49</v>
      </c>
      <c r="H10" s="25" t="s">
        <v>50</v>
      </c>
      <c r="I10" s="25" t="s">
        <v>51</v>
      </c>
      <c r="J10" s="25" t="s">
        <v>52</v>
      </c>
    </row>
    <row r="11" customFormat="false" ht="15" hidden="false" customHeight="false" outlineLevel="0" collapsed="false">
      <c r="A11" s="7" t="s">
        <v>53</v>
      </c>
      <c r="B11" s="7"/>
      <c r="C11" s="7"/>
      <c r="D11" s="7"/>
      <c r="E11" s="7"/>
      <c r="F11" s="26" t="n">
        <v>46296</v>
      </c>
      <c r="G11" s="26" t="n">
        <v>46388</v>
      </c>
      <c r="H11" s="26" t="n">
        <v>46478</v>
      </c>
      <c r="I11" s="26" t="n">
        <v>46569</v>
      </c>
      <c r="J11" s="26" t="n">
        <v>46661</v>
      </c>
    </row>
    <row r="12" customFormat="false" ht="15" hidden="false" customHeight="false" outlineLevel="0" collapsed="false">
      <c r="A12" s="7" t="s">
        <v>54</v>
      </c>
      <c r="B12" s="7"/>
      <c r="C12" s="7"/>
      <c r="D12" s="7"/>
      <c r="E12" s="7"/>
      <c r="F12" s="26" t="n">
        <v>46387</v>
      </c>
      <c r="G12" s="26" t="n">
        <v>46477</v>
      </c>
      <c r="H12" s="26" t="n">
        <v>46568</v>
      </c>
      <c r="I12" s="26" t="n">
        <v>46660</v>
      </c>
      <c r="J12" s="26" t="n">
        <v>46752</v>
      </c>
    </row>
    <row r="13" customFormat="false" ht="15" hidden="false" customHeight="false" outlineLevel="0" collapsed="false">
      <c r="A13" s="7" t="s">
        <v>55</v>
      </c>
      <c r="B13" s="7"/>
      <c r="C13" s="7"/>
      <c r="D13" s="7"/>
      <c r="E13" s="7"/>
      <c r="F13" s="27" t="n">
        <f aca="false">F12-F11+1</f>
        <v>92</v>
      </c>
      <c r="G13" s="27" t="n">
        <f aca="false">G12-G11+1</f>
        <v>90</v>
      </c>
      <c r="H13" s="27" t="n">
        <f aca="false">H12-H11+1</f>
        <v>91</v>
      </c>
      <c r="I13" s="27" t="n">
        <f aca="false">I12-I11+1</f>
        <v>92</v>
      </c>
      <c r="J13" s="27" t="n">
        <f aca="false">J12-J11+1</f>
        <v>92</v>
      </c>
    </row>
    <row r="14" customFormat="false" ht="15" hidden="false" customHeight="false" outlineLevel="0" collapsed="false">
      <c r="A14" s="7" t="s">
        <v>56</v>
      </c>
      <c r="B14" s="7"/>
      <c r="C14" s="7"/>
      <c r="D14" s="7"/>
      <c r="E14" s="7"/>
      <c r="F14" s="19" t="n">
        <v>0.039</v>
      </c>
      <c r="G14" s="19" t="n">
        <v>0.0375</v>
      </c>
      <c r="H14" s="19" t="n">
        <v>0.036</v>
      </c>
      <c r="I14" s="19" t="n">
        <v>0.035</v>
      </c>
      <c r="J14" s="19" t="n">
        <v>0.035</v>
      </c>
    </row>
    <row r="15" customFormat="false" ht="15" hidden="false" customHeight="false" outlineLevel="0" collapsed="false">
      <c r="A15" s="22" t="s">
        <v>57</v>
      </c>
      <c r="B15" s="7"/>
      <c r="C15" s="7"/>
      <c r="D15" s="7"/>
      <c r="E15" s="7"/>
      <c r="F15" s="7"/>
      <c r="G15" s="7"/>
      <c r="H15" s="7"/>
      <c r="I15" s="7"/>
      <c r="J15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5" min="3" style="0" width="13"/>
    <col collapsed="false" customWidth="true" hidden="false" outlineLevel="0" max="11" min="6" style="0" width="12"/>
  </cols>
  <sheetData>
    <row r="1" customFormat="false" ht="17.35" hidden="false" customHeight="false" outlineLevel="0" collapsed="false">
      <c r="A1" s="1" t="s">
        <v>58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customFormat="false" ht="15" hidden="false" customHeight="false" outlineLevel="0" collapsed="false">
      <c r="A2" s="8" t="s">
        <v>59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customFormat="false" ht="15" hidden="false" customHeight="false" outlineLevel="0" collapsed="false">
      <c r="A4" s="12" t="s">
        <v>60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customFormat="false" ht="30" hidden="false" customHeight="true" outlineLevel="0" collapsed="false">
      <c r="A5" s="28" t="s">
        <v>61</v>
      </c>
      <c r="B5" s="28" t="s">
        <v>62</v>
      </c>
      <c r="C5" s="28" t="s">
        <v>63</v>
      </c>
      <c r="D5" s="28" t="s">
        <v>64</v>
      </c>
      <c r="E5" s="28" t="s">
        <v>65</v>
      </c>
      <c r="F5" s="29" t="str">
        <f aca="false">Assumptions!F$10</f>
        <v>Q4-2026</v>
      </c>
      <c r="G5" s="29" t="str">
        <f aca="false">Assumptions!G$10</f>
        <v>Q1-2027</v>
      </c>
      <c r="H5" s="29" t="str">
        <f aca="false">Assumptions!H$10</f>
        <v>Q2-2027</v>
      </c>
      <c r="I5" s="29" t="str">
        <f aca="false">Assumptions!I$10</f>
        <v>Q3-2027</v>
      </c>
      <c r="J5" s="29" t="str">
        <f aca="false">Assumptions!J$10</f>
        <v>Q4-2027</v>
      </c>
      <c r="K5" s="25" t="s">
        <v>21</v>
      </c>
    </row>
    <row r="6" customFormat="false" ht="15" hidden="false" customHeight="false" outlineLevel="0" collapsed="false">
      <c r="A6" s="4" t="s">
        <v>66</v>
      </c>
      <c r="B6" s="4" t="s">
        <v>67</v>
      </c>
      <c r="C6" s="30" t="n">
        <v>0</v>
      </c>
      <c r="D6" s="30" t="n">
        <v>0.0025</v>
      </c>
      <c r="E6" s="31" t="n">
        <v>500</v>
      </c>
      <c r="F6" s="31" t="n">
        <v>50</v>
      </c>
      <c r="G6" s="31" t="n">
        <v>0</v>
      </c>
      <c r="H6" s="31" t="n">
        <v>25</v>
      </c>
      <c r="I6" s="31" t="n">
        <v>0</v>
      </c>
      <c r="J6" s="31" t="n">
        <v>25</v>
      </c>
      <c r="K6" s="15" t="n">
        <f aca="false">SUM(G6:J6)</f>
        <v>50</v>
      </c>
    </row>
    <row r="7" customFormat="false" ht="15" hidden="false" customHeight="false" outlineLevel="0" collapsed="false">
      <c r="A7" s="4" t="s">
        <v>68</v>
      </c>
      <c r="B7" s="4" t="s">
        <v>69</v>
      </c>
      <c r="C7" s="30" t="n">
        <v>0.041</v>
      </c>
      <c r="D7" s="30" t="n">
        <v>0</v>
      </c>
      <c r="E7" s="31" t="n">
        <v>300</v>
      </c>
      <c r="F7" s="31" t="n">
        <v>0</v>
      </c>
      <c r="G7" s="31" t="n">
        <v>-100</v>
      </c>
      <c r="H7" s="31" t="n">
        <v>0</v>
      </c>
      <c r="I7" s="31" t="n">
        <v>0</v>
      </c>
      <c r="J7" s="31" t="n">
        <v>0</v>
      </c>
      <c r="K7" s="15" t="n">
        <f aca="false">SUM(G7:J7)</f>
        <v>-100</v>
      </c>
    </row>
    <row r="8" customFormat="false" ht="15" hidden="false" customHeight="false" outlineLevel="0" collapsed="false">
      <c r="A8" s="4" t="s">
        <v>70</v>
      </c>
      <c r="B8" s="4" t="s">
        <v>67</v>
      </c>
      <c r="C8" s="30" t="n">
        <v>0</v>
      </c>
      <c r="D8" s="30" t="n">
        <v>-0.0025</v>
      </c>
      <c r="E8" s="31" t="n">
        <v>200</v>
      </c>
      <c r="F8" s="31" t="n">
        <v>-50</v>
      </c>
      <c r="G8" s="31" t="n">
        <v>25</v>
      </c>
      <c r="H8" s="31" t="n">
        <v>25</v>
      </c>
      <c r="I8" s="31" t="n">
        <v>0</v>
      </c>
      <c r="J8" s="31" t="n">
        <v>0</v>
      </c>
      <c r="K8" s="15" t="n">
        <f aca="false">SUM(G8:J8)</f>
        <v>50</v>
      </c>
    </row>
    <row r="9" customFormat="false" ht="15" hidden="false" customHeight="false" outlineLevel="0" collapsed="false">
      <c r="A9" s="4" t="s">
        <v>71</v>
      </c>
      <c r="B9" s="4" t="s">
        <v>67</v>
      </c>
      <c r="C9" s="30" t="n">
        <v>0</v>
      </c>
      <c r="D9" s="30" t="n">
        <v>0</v>
      </c>
      <c r="E9" s="31" t="n">
        <v>0</v>
      </c>
      <c r="F9" s="31" t="n">
        <v>0</v>
      </c>
      <c r="G9" s="31" t="n">
        <v>0</v>
      </c>
      <c r="H9" s="31" t="n">
        <v>0</v>
      </c>
      <c r="I9" s="31" t="n">
        <v>0</v>
      </c>
      <c r="J9" s="31" t="n">
        <v>0</v>
      </c>
      <c r="K9" s="15" t="n">
        <f aca="false">SUM(G9:J9)</f>
        <v>0</v>
      </c>
    </row>
    <row r="10" customFormat="false" ht="15" hidden="false" customHeight="false" outlineLevel="0" collapsed="false">
      <c r="A10" s="4" t="s">
        <v>72</v>
      </c>
      <c r="B10" s="4" t="s">
        <v>67</v>
      </c>
      <c r="C10" s="30" t="n">
        <v>0</v>
      </c>
      <c r="D10" s="30" t="n">
        <v>0</v>
      </c>
      <c r="E10" s="31" t="n">
        <v>0</v>
      </c>
      <c r="F10" s="31" t="n">
        <v>0</v>
      </c>
      <c r="G10" s="31" t="n">
        <v>0</v>
      </c>
      <c r="H10" s="31" t="n">
        <v>0</v>
      </c>
      <c r="I10" s="31" t="n">
        <v>0</v>
      </c>
      <c r="J10" s="31" t="n">
        <v>0</v>
      </c>
      <c r="K10" s="15" t="n">
        <f aca="false">SUM(G10:J10)</f>
        <v>0</v>
      </c>
    </row>
    <row r="11" customFormat="false" ht="15" hidden="false" customHeight="false" outlineLevel="0" collapsed="false">
      <c r="A11" s="32" t="s">
        <v>73</v>
      </c>
      <c r="B11" s="33"/>
      <c r="C11" s="33"/>
      <c r="D11" s="33"/>
      <c r="E11" s="34" t="n">
        <f aca="false">SUM(E6:E10)</f>
        <v>1000</v>
      </c>
      <c r="F11" s="34" t="n">
        <f aca="false">SUM(F6:F10)</f>
        <v>0</v>
      </c>
      <c r="G11" s="34" t="n">
        <f aca="false">SUM(G6:G10)</f>
        <v>-75</v>
      </c>
      <c r="H11" s="34" t="n">
        <f aca="false">SUM(H6:H10)</f>
        <v>50</v>
      </c>
      <c r="I11" s="34" t="n">
        <f aca="false">SUM(I6:I10)</f>
        <v>0</v>
      </c>
      <c r="J11" s="34" t="n">
        <f aca="false">SUM(J6:J10)</f>
        <v>25</v>
      </c>
      <c r="K11" s="34" t="n">
        <f aca="false">SUM(K6:K10)</f>
        <v>0</v>
      </c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customFormat="false" ht="15" hidden="false" customHeight="false" outlineLevel="0" collapsed="false">
      <c r="A13" s="12" t="s">
        <v>74</v>
      </c>
      <c r="B13" s="13"/>
      <c r="C13" s="13"/>
      <c r="D13" s="13"/>
      <c r="E13" s="13"/>
      <c r="F13" s="35" t="str">
        <f aca="false">Assumptions!F$10</f>
        <v>Q4-2026</v>
      </c>
      <c r="G13" s="35" t="str">
        <f aca="false">Assumptions!G$10</f>
        <v>Q1-2027</v>
      </c>
      <c r="H13" s="35" t="str">
        <f aca="false">Assumptions!H$10</f>
        <v>Q2-2027</v>
      </c>
      <c r="I13" s="35" t="str">
        <f aca="false">Assumptions!I$10</f>
        <v>Q3-2027</v>
      </c>
      <c r="J13" s="35" t="str">
        <f aca="false">Assumptions!J$10</f>
        <v>Q4-2027</v>
      </c>
      <c r="K13" s="36" t="s">
        <v>75</v>
      </c>
    </row>
    <row r="14" customFormat="false" ht="15" hidden="false" customHeight="false" outlineLevel="0" collapsed="false">
      <c r="A14" s="7" t="str">
        <f aca="false">A6</f>
        <v>Bank A – 3M term placement</v>
      </c>
      <c r="B14" s="7"/>
      <c r="C14" s="7"/>
      <c r="D14" s="7"/>
      <c r="E14" s="7"/>
      <c r="F14" s="15" t="n">
        <f aca="false">$E6+F6</f>
        <v>550</v>
      </c>
      <c r="G14" s="15" t="n">
        <f aca="false">F14+G6</f>
        <v>550</v>
      </c>
      <c r="H14" s="15" t="n">
        <f aca="false">G14+H6</f>
        <v>575</v>
      </c>
      <c r="I14" s="15" t="n">
        <f aca="false">H14+I6</f>
        <v>575</v>
      </c>
      <c r="J14" s="15" t="n">
        <f aca="false">I14+J6</f>
        <v>600</v>
      </c>
      <c r="K14" s="15" t="n">
        <f aca="false">J14</f>
        <v>600</v>
      </c>
    </row>
    <row r="15" customFormat="false" ht="15" hidden="false" customHeight="false" outlineLevel="0" collapsed="false">
      <c r="A15" s="7" t="str">
        <f aca="false">A7</f>
        <v>Bank B – 6M fixed placement</v>
      </c>
      <c r="B15" s="7"/>
      <c r="C15" s="7"/>
      <c r="D15" s="7"/>
      <c r="E15" s="7"/>
      <c r="F15" s="15" t="n">
        <f aca="false">$E7+F7</f>
        <v>300</v>
      </c>
      <c r="G15" s="15" t="n">
        <f aca="false">F15+G7</f>
        <v>200</v>
      </c>
      <c r="H15" s="15" t="n">
        <f aca="false">G15+H7</f>
        <v>200</v>
      </c>
      <c r="I15" s="15" t="n">
        <f aca="false">H15+I7</f>
        <v>200</v>
      </c>
      <c r="J15" s="15" t="n">
        <f aca="false">I15+J7</f>
        <v>200</v>
      </c>
      <c r="K15" s="15" t="n">
        <f aca="false">J15</f>
        <v>200</v>
      </c>
    </row>
    <row r="16" customFormat="false" ht="15" hidden="false" customHeight="false" outlineLevel="0" collapsed="false">
      <c r="A16" s="7" t="str">
        <f aca="false">A8</f>
        <v>Bank C – call / overnight</v>
      </c>
      <c r="B16" s="7"/>
      <c r="C16" s="7"/>
      <c r="D16" s="7"/>
      <c r="E16" s="7"/>
      <c r="F16" s="15" t="n">
        <f aca="false">$E8+F8</f>
        <v>150</v>
      </c>
      <c r="G16" s="15" t="n">
        <f aca="false">F16+G8</f>
        <v>175</v>
      </c>
      <c r="H16" s="15" t="n">
        <f aca="false">G16+H8</f>
        <v>200</v>
      </c>
      <c r="I16" s="15" t="n">
        <f aca="false">H16+I8</f>
        <v>200</v>
      </c>
      <c r="J16" s="15" t="n">
        <f aca="false">I16+J8</f>
        <v>200</v>
      </c>
      <c r="K16" s="15" t="n">
        <f aca="false">J16</f>
        <v>200</v>
      </c>
    </row>
    <row r="17" customFormat="false" ht="15" hidden="false" customHeight="false" outlineLevel="0" collapsed="false">
      <c r="A17" s="7" t="str">
        <f aca="false">A9</f>
        <v>Counterparty 4</v>
      </c>
      <c r="B17" s="7"/>
      <c r="C17" s="7"/>
      <c r="D17" s="7"/>
      <c r="E17" s="7"/>
      <c r="F17" s="15" t="n">
        <f aca="false">$E9+F9</f>
        <v>0</v>
      </c>
      <c r="G17" s="15" t="n">
        <f aca="false">F17+G9</f>
        <v>0</v>
      </c>
      <c r="H17" s="15" t="n">
        <f aca="false">G17+H9</f>
        <v>0</v>
      </c>
      <c r="I17" s="15" t="n">
        <f aca="false">H17+I9</f>
        <v>0</v>
      </c>
      <c r="J17" s="15" t="n">
        <f aca="false">I17+J9</f>
        <v>0</v>
      </c>
      <c r="K17" s="15" t="n">
        <f aca="false">J17</f>
        <v>0</v>
      </c>
    </row>
    <row r="18" customFormat="false" ht="15" hidden="false" customHeight="false" outlineLevel="0" collapsed="false">
      <c r="A18" s="7" t="str">
        <f aca="false">A10</f>
        <v>Counterparty 5</v>
      </c>
      <c r="B18" s="7"/>
      <c r="C18" s="7"/>
      <c r="D18" s="7"/>
      <c r="E18" s="7"/>
      <c r="F18" s="15" t="n">
        <f aca="false">$E10+F10</f>
        <v>0</v>
      </c>
      <c r="G18" s="15" t="n">
        <f aca="false">F18+G10</f>
        <v>0</v>
      </c>
      <c r="H18" s="15" t="n">
        <f aca="false">G18+H10</f>
        <v>0</v>
      </c>
      <c r="I18" s="15" t="n">
        <f aca="false">H18+I10</f>
        <v>0</v>
      </c>
      <c r="J18" s="15" t="n">
        <f aca="false">I18+J10</f>
        <v>0</v>
      </c>
      <c r="K18" s="15" t="n">
        <f aca="false">J18</f>
        <v>0</v>
      </c>
    </row>
    <row r="19" customFormat="false" ht="15" hidden="false" customHeight="false" outlineLevel="0" collapsed="false">
      <c r="A19" s="32" t="s">
        <v>76</v>
      </c>
      <c r="B19" s="32"/>
      <c r="C19" s="32"/>
      <c r="D19" s="32"/>
      <c r="E19" s="32"/>
      <c r="F19" s="34" t="n">
        <f aca="false">SUM(F14:F18)</f>
        <v>1000</v>
      </c>
      <c r="G19" s="34" t="n">
        <f aca="false">SUM(G14:G18)</f>
        <v>925</v>
      </c>
      <c r="H19" s="34" t="n">
        <f aca="false">SUM(H14:H18)</f>
        <v>975</v>
      </c>
      <c r="I19" s="34" t="n">
        <f aca="false">SUM(I14:I18)</f>
        <v>975</v>
      </c>
      <c r="J19" s="34" t="n">
        <f aca="false">SUM(J14:J18)</f>
        <v>1000</v>
      </c>
      <c r="K19" s="34" t="n">
        <f aca="false">SUM(K14:K18)</f>
        <v>1000</v>
      </c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customFormat="false" ht="15" hidden="false" customHeight="false" outlineLevel="0" collapsed="false">
      <c r="A21" s="12" t="s">
        <v>77</v>
      </c>
      <c r="B21" s="13"/>
      <c r="C21" s="13"/>
      <c r="D21" s="13"/>
      <c r="E21" s="13"/>
      <c r="F21" s="35" t="str">
        <f aca="false">Assumptions!F$10</f>
        <v>Q4-2026</v>
      </c>
      <c r="G21" s="35" t="str">
        <f aca="false">Assumptions!G$10</f>
        <v>Q1-2027</v>
      </c>
      <c r="H21" s="35" t="str">
        <f aca="false">Assumptions!H$10</f>
        <v>Q2-2027</v>
      </c>
      <c r="I21" s="35" t="str">
        <f aca="false">Assumptions!I$10</f>
        <v>Q3-2027</v>
      </c>
      <c r="J21" s="35" t="str">
        <f aca="false">Assumptions!J$10</f>
        <v>Q4-2027</v>
      </c>
      <c r="K21" s="36" t="s">
        <v>78</v>
      </c>
    </row>
    <row r="22" customFormat="false" ht="15" hidden="false" customHeight="false" outlineLevel="0" collapsed="false">
      <c r="A22" s="7" t="str">
        <f aca="false">A6</f>
        <v>Bank A – 3M term placement</v>
      </c>
      <c r="B22" s="7"/>
      <c r="C22" s="7"/>
      <c r="D22" s="7"/>
      <c r="E22" s="7"/>
      <c r="F22" s="15" t="n">
        <f aca="false">($E6+F14)/2</f>
        <v>525</v>
      </c>
      <c r="G22" s="15" t="n">
        <f aca="false">(F14+G14)/2</f>
        <v>550</v>
      </c>
      <c r="H22" s="15" t="n">
        <f aca="false">(G14+H14)/2</f>
        <v>562.5</v>
      </c>
      <c r="I22" s="15" t="n">
        <f aca="false">(H14+I14)/2</f>
        <v>575</v>
      </c>
      <c r="J22" s="15" t="n">
        <f aca="false">(I14+J14)/2</f>
        <v>587.5</v>
      </c>
      <c r="K22" s="15" t="n">
        <f aca="false">SUMPRODUCT(G22:J22,Assumptions!$G$13:$J$13)/SUM(Assumptions!$G$13:$J$13)</f>
        <v>568.869863013699</v>
      </c>
    </row>
    <row r="23" customFormat="false" ht="15" hidden="false" customHeight="false" outlineLevel="0" collapsed="false">
      <c r="A23" s="7" t="str">
        <f aca="false">A7</f>
        <v>Bank B – 6M fixed placement</v>
      </c>
      <c r="B23" s="7"/>
      <c r="C23" s="7"/>
      <c r="D23" s="7"/>
      <c r="E23" s="7"/>
      <c r="F23" s="15" t="n">
        <f aca="false">($E7+F15)/2</f>
        <v>300</v>
      </c>
      <c r="G23" s="15" t="n">
        <f aca="false">(F15+G15)/2</f>
        <v>250</v>
      </c>
      <c r="H23" s="15" t="n">
        <f aca="false">(G15+H15)/2</f>
        <v>200</v>
      </c>
      <c r="I23" s="15" t="n">
        <f aca="false">(H15+I15)/2</f>
        <v>200</v>
      </c>
      <c r="J23" s="15" t="n">
        <f aca="false">(I15+J15)/2</f>
        <v>200</v>
      </c>
      <c r="K23" s="15" t="n">
        <f aca="false">SUMPRODUCT(G23:J23,Assumptions!$G$13:$J$13)/SUM(Assumptions!$G$13:$J$13)</f>
        <v>212.328767123288</v>
      </c>
    </row>
    <row r="24" customFormat="false" ht="15" hidden="false" customHeight="false" outlineLevel="0" collapsed="false">
      <c r="A24" s="7" t="str">
        <f aca="false">A8</f>
        <v>Bank C – call / overnight</v>
      </c>
      <c r="B24" s="7"/>
      <c r="C24" s="7"/>
      <c r="D24" s="7"/>
      <c r="E24" s="7"/>
      <c r="F24" s="15" t="n">
        <f aca="false">($E8+F16)/2</f>
        <v>175</v>
      </c>
      <c r="G24" s="15" t="n">
        <f aca="false">(F16+G16)/2</f>
        <v>162.5</v>
      </c>
      <c r="H24" s="15" t="n">
        <f aca="false">(G16+H16)/2</f>
        <v>187.5</v>
      </c>
      <c r="I24" s="15" t="n">
        <f aca="false">(H16+I16)/2</f>
        <v>200</v>
      </c>
      <c r="J24" s="15" t="n">
        <f aca="false">(I16+J16)/2</f>
        <v>200</v>
      </c>
      <c r="K24" s="15" t="n">
        <f aca="false">SUMPRODUCT(G24:J24,Assumptions!$G$13:$J$13)/SUM(Assumptions!$G$13:$J$13)</f>
        <v>187.63698630137</v>
      </c>
    </row>
    <row r="25" customFormat="false" ht="15" hidden="false" customHeight="false" outlineLevel="0" collapsed="false">
      <c r="A25" s="7" t="str">
        <f aca="false">A9</f>
        <v>Counterparty 4</v>
      </c>
      <c r="B25" s="7"/>
      <c r="C25" s="7"/>
      <c r="D25" s="7"/>
      <c r="E25" s="7"/>
      <c r="F25" s="15" t="n">
        <f aca="false">($E9+F17)/2</f>
        <v>0</v>
      </c>
      <c r="G25" s="15" t="n">
        <f aca="false">(F17+G17)/2</f>
        <v>0</v>
      </c>
      <c r="H25" s="15" t="n">
        <f aca="false">(G17+H17)/2</f>
        <v>0</v>
      </c>
      <c r="I25" s="15" t="n">
        <f aca="false">(H17+I17)/2</f>
        <v>0</v>
      </c>
      <c r="J25" s="15" t="n">
        <f aca="false">(I17+J17)/2</f>
        <v>0</v>
      </c>
      <c r="K25" s="15" t="n">
        <f aca="false">SUMPRODUCT(G25:J25,Assumptions!$G$13:$J$13)/SUM(Assumptions!$G$13:$J$13)</f>
        <v>0</v>
      </c>
    </row>
    <row r="26" customFormat="false" ht="15" hidden="false" customHeight="false" outlineLevel="0" collapsed="false">
      <c r="A26" s="7" t="str">
        <f aca="false">A10</f>
        <v>Counterparty 5</v>
      </c>
      <c r="B26" s="7"/>
      <c r="C26" s="7"/>
      <c r="D26" s="7"/>
      <c r="E26" s="7"/>
      <c r="F26" s="15" t="n">
        <f aca="false">($E10+F18)/2</f>
        <v>0</v>
      </c>
      <c r="G26" s="15" t="n">
        <f aca="false">(F18+G18)/2</f>
        <v>0</v>
      </c>
      <c r="H26" s="15" t="n">
        <f aca="false">(G18+H18)/2</f>
        <v>0</v>
      </c>
      <c r="I26" s="15" t="n">
        <f aca="false">(H18+I18)/2</f>
        <v>0</v>
      </c>
      <c r="J26" s="15" t="n">
        <f aca="false">(I18+J18)/2</f>
        <v>0</v>
      </c>
      <c r="K26" s="15" t="n">
        <f aca="false">SUMPRODUCT(G26:J26,Assumptions!$G$13:$J$13)/SUM(Assumptions!$G$13:$J$13)</f>
        <v>0</v>
      </c>
    </row>
    <row r="27" customFormat="false" ht="15" hidden="false" customHeight="false" outlineLevel="0" collapsed="false">
      <c r="A27" s="32" t="s">
        <v>79</v>
      </c>
      <c r="B27" s="32"/>
      <c r="C27" s="32"/>
      <c r="D27" s="32"/>
      <c r="E27" s="32"/>
      <c r="F27" s="34" t="n">
        <f aca="false">SUM(F22:F26)</f>
        <v>1000</v>
      </c>
      <c r="G27" s="34" t="n">
        <f aca="false">SUM(G22:G26)</f>
        <v>962.5</v>
      </c>
      <c r="H27" s="34" t="n">
        <f aca="false">SUM(H22:H26)</f>
        <v>950</v>
      </c>
      <c r="I27" s="34" t="n">
        <f aca="false">SUM(I22:I26)</f>
        <v>975</v>
      </c>
      <c r="J27" s="34" t="n">
        <f aca="false">SUM(J22:J26)</f>
        <v>987.5</v>
      </c>
      <c r="K27" s="34" t="n">
        <f aca="false">SUM(K22:K26)</f>
        <v>968.835616438356</v>
      </c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customFormat="false" ht="15" hidden="false" customHeight="false" outlineLevel="0" collapsed="false">
      <c r="A29" s="12" t="s">
        <v>80</v>
      </c>
      <c r="B29" s="13"/>
      <c r="C29" s="13"/>
      <c r="D29" s="13"/>
      <c r="E29" s="13"/>
      <c r="F29" s="35" t="str">
        <f aca="false">Assumptions!F$10</f>
        <v>Q4-2026</v>
      </c>
      <c r="G29" s="35" t="str">
        <f aca="false">Assumptions!G$10</f>
        <v>Q1-2027</v>
      </c>
      <c r="H29" s="35" t="str">
        <f aca="false">Assumptions!H$10</f>
        <v>Q2-2027</v>
      </c>
      <c r="I29" s="35" t="str">
        <f aca="false">Assumptions!I$10</f>
        <v>Q3-2027</v>
      </c>
      <c r="J29" s="35" t="str">
        <f aca="false">Assumptions!J$10</f>
        <v>Q4-2027</v>
      </c>
      <c r="K29" s="36"/>
    </row>
    <row r="30" customFormat="false" ht="15" hidden="false" customHeight="false" outlineLevel="0" collapsed="false">
      <c r="A30" s="7" t="str">
        <f aca="false">A6</f>
        <v>Bank A – 3M term placement</v>
      </c>
      <c r="B30" s="7"/>
      <c r="C30" s="7"/>
      <c r="D30" s="7"/>
      <c r="E30" s="7"/>
      <c r="F30" s="18" t="n">
        <f aca="false">IF($B6="Fixed",$C6,Assumptions!F$14+$D6+Assumptions!$E$6)</f>
        <v>0.0415</v>
      </c>
      <c r="G30" s="18" t="n">
        <f aca="false">IF($B6="Fixed",$C6,Assumptions!G$14+$D6+Assumptions!$E$6)</f>
        <v>0.04</v>
      </c>
      <c r="H30" s="18" t="n">
        <f aca="false">IF($B6="Fixed",$C6,Assumptions!H$14+$D6+Assumptions!$E$6)</f>
        <v>0.0385</v>
      </c>
      <c r="I30" s="18" t="n">
        <f aca="false">IF($B6="Fixed",$C6,Assumptions!I$14+$D6+Assumptions!$E$6)</f>
        <v>0.0375</v>
      </c>
      <c r="J30" s="18" t="n">
        <f aca="false">IF($B6="Fixed",$C6,Assumptions!J$14+$D6+Assumptions!$E$6)</f>
        <v>0.0375</v>
      </c>
      <c r="K30" s="7"/>
    </row>
    <row r="31" customFormat="false" ht="15" hidden="false" customHeight="false" outlineLevel="0" collapsed="false">
      <c r="A31" s="7" t="str">
        <f aca="false">A7</f>
        <v>Bank B – 6M fixed placement</v>
      </c>
      <c r="B31" s="7"/>
      <c r="C31" s="7"/>
      <c r="D31" s="7"/>
      <c r="E31" s="7"/>
      <c r="F31" s="18" t="n">
        <f aca="false">IF($B7="Fixed",$C7,Assumptions!F$14+$D7+Assumptions!$E$6)</f>
        <v>0.041</v>
      </c>
      <c r="G31" s="18" t="n">
        <f aca="false">IF($B7="Fixed",$C7,Assumptions!G$14+$D7+Assumptions!$E$6)</f>
        <v>0.041</v>
      </c>
      <c r="H31" s="18" t="n">
        <f aca="false">IF($B7="Fixed",$C7,Assumptions!H$14+$D7+Assumptions!$E$6)</f>
        <v>0.041</v>
      </c>
      <c r="I31" s="18" t="n">
        <f aca="false">IF($B7="Fixed",$C7,Assumptions!I$14+$D7+Assumptions!$E$6)</f>
        <v>0.041</v>
      </c>
      <c r="J31" s="18" t="n">
        <f aca="false">IF($B7="Fixed",$C7,Assumptions!J$14+$D7+Assumptions!$E$6)</f>
        <v>0.041</v>
      </c>
      <c r="K31" s="7"/>
    </row>
    <row r="32" customFormat="false" ht="15" hidden="false" customHeight="false" outlineLevel="0" collapsed="false">
      <c r="A32" s="7" t="str">
        <f aca="false">A8</f>
        <v>Bank C – call / overnight</v>
      </c>
      <c r="B32" s="7"/>
      <c r="C32" s="7"/>
      <c r="D32" s="7"/>
      <c r="E32" s="7"/>
      <c r="F32" s="18" t="n">
        <f aca="false">IF($B8="Fixed",$C8,Assumptions!F$14+$D8+Assumptions!$E$6)</f>
        <v>0.0365</v>
      </c>
      <c r="G32" s="18" t="n">
        <f aca="false">IF($B8="Fixed",$C8,Assumptions!G$14+$D8+Assumptions!$E$6)</f>
        <v>0.035</v>
      </c>
      <c r="H32" s="18" t="n">
        <f aca="false">IF($B8="Fixed",$C8,Assumptions!H$14+$D8+Assumptions!$E$6)</f>
        <v>0.0335</v>
      </c>
      <c r="I32" s="18" t="n">
        <f aca="false">IF($B8="Fixed",$C8,Assumptions!I$14+$D8+Assumptions!$E$6)</f>
        <v>0.0325</v>
      </c>
      <c r="J32" s="18" t="n">
        <f aca="false">IF($B8="Fixed",$C8,Assumptions!J$14+$D8+Assumptions!$E$6)</f>
        <v>0.0325</v>
      </c>
      <c r="K32" s="7"/>
    </row>
    <row r="33" customFormat="false" ht="15" hidden="false" customHeight="false" outlineLevel="0" collapsed="false">
      <c r="A33" s="7" t="str">
        <f aca="false">A9</f>
        <v>Counterparty 4</v>
      </c>
      <c r="B33" s="7"/>
      <c r="C33" s="7"/>
      <c r="D33" s="7"/>
      <c r="E33" s="7"/>
      <c r="F33" s="18" t="n">
        <f aca="false">IF($B9="Fixed",$C9,Assumptions!F$14+$D9+Assumptions!$E$6)</f>
        <v>0.039</v>
      </c>
      <c r="G33" s="18" t="n">
        <f aca="false">IF($B9="Fixed",$C9,Assumptions!G$14+$D9+Assumptions!$E$6)</f>
        <v>0.0375</v>
      </c>
      <c r="H33" s="18" t="n">
        <f aca="false">IF($B9="Fixed",$C9,Assumptions!H$14+$D9+Assumptions!$E$6)</f>
        <v>0.036</v>
      </c>
      <c r="I33" s="18" t="n">
        <f aca="false">IF($B9="Fixed",$C9,Assumptions!I$14+$D9+Assumptions!$E$6)</f>
        <v>0.035</v>
      </c>
      <c r="J33" s="18" t="n">
        <f aca="false">IF($B9="Fixed",$C9,Assumptions!J$14+$D9+Assumptions!$E$6)</f>
        <v>0.035</v>
      </c>
      <c r="K33" s="7"/>
    </row>
    <row r="34" customFormat="false" ht="15" hidden="false" customHeight="false" outlineLevel="0" collapsed="false">
      <c r="A34" s="7" t="str">
        <f aca="false">A10</f>
        <v>Counterparty 5</v>
      </c>
      <c r="B34" s="7"/>
      <c r="C34" s="7"/>
      <c r="D34" s="7"/>
      <c r="E34" s="7"/>
      <c r="F34" s="18" t="n">
        <f aca="false">IF($B10="Fixed",$C10,Assumptions!F$14+$D10+Assumptions!$E$6)</f>
        <v>0.039</v>
      </c>
      <c r="G34" s="18" t="n">
        <f aca="false">IF($B10="Fixed",$C10,Assumptions!G$14+$D10+Assumptions!$E$6)</f>
        <v>0.0375</v>
      </c>
      <c r="H34" s="18" t="n">
        <f aca="false">IF($B10="Fixed",$C10,Assumptions!H$14+$D10+Assumptions!$E$6)</f>
        <v>0.036</v>
      </c>
      <c r="I34" s="18" t="n">
        <f aca="false">IF($B10="Fixed",$C10,Assumptions!I$14+$D10+Assumptions!$E$6)</f>
        <v>0.035</v>
      </c>
      <c r="J34" s="18" t="n">
        <f aca="false">IF($B10="Fixed",$C10,Assumptions!J$14+$D10+Assumptions!$E$6)</f>
        <v>0.035</v>
      </c>
      <c r="K34" s="7"/>
    </row>
    <row r="35" customFormat="false" ht="15" hidden="false" customHeight="false" outlineLevel="0" collapsed="false">
      <c r="A35" s="32" t="s">
        <v>81</v>
      </c>
      <c r="B35" s="32"/>
      <c r="C35" s="32"/>
      <c r="D35" s="32"/>
      <c r="E35" s="32"/>
      <c r="F35" s="37" t="n">
        <f aca="false">IFERROR(F43/F27*Assumptions!$E$5/Assumptions!F$13,0)</f>
        <v>0.040475</v>
      </c>
      <c r="G35" s="37" t="n">
        <f aca="false">IFERROR(G43/G27*Assumptions!$E$5/Assumptions!G$13,0)</f>
        <v>0.0394155844155844</v>
      </c>
      <c r="H35" s="37" t="n">
        <f aca="false">IFERROR(H43/H27*Assumptions!$E$5/Assumptions!H$13,0)</f>
        <v>0.0380394736842105</v>
      </c>
      <c r="I35" s="37" t="n">
        <f aca="false">IFERROR(I43/I27*Assumptions!$E$5/Assumptions!I$13,0)</f>
        <v>0.0371923076923077</v>
      </c>
      <c r="J35" s="37" t="n">
        <f aca="false">IFERROR(J43/J27*Assumptions!$E$5/Assumptions!J$13,0)</f>
        <v>0.0371962025316456</v>
      </c>
      <c r="K35" s="37" t="n">
        <f aca="false">IFERROR(K43/K27*Assumptions!$E$5/SUM(Assumptions!$G$13:$J$13),0)</f>
        <v>0.0379450335807706</v>
      </c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customFormat="false" ht="15" hidden="false" customHeight="false" outlineLevel="0" collapsed="false">
      <c r="A37" s="12" t="s">
        <v>82</v>
      </c>
      <c r="B37" s="13"/>
      <c r="C37" s="13"/>
      <c r="D37" s="13"/>
      <c r="E37" s="13"/>
      <c r="F37" s="35" t="str">
        <f aca="false">Assumptions!F$10</f>
        <v>Q4-2026</v>
      </c>
      <c r="G37" s="35" t="str">
        <f aca="false">Assumptions!G$10</f>
        <v>Q1-2027</v>
      </c>
      <c r="H37" s="35" t="str">
        <f aca="false">Assumptions!H$10</f>
        <v>Q2-2027</v>
      </c>
      <c r="I37" s="35" t="str">
        <f aca="false">Assumptions!I$10</f>
        <v>Q3-2027</v>
      </c>
      <c r="J37" s="35" t="str">
        <f aca="false">Assumptions!J$10</f>
        <v>Q4-2027</v>
      </c>
      <c r="K37" s="36" t="s">
        <v>21</v>
      </c>
    </row>
    <row r="38" customFormat="false" ht="15" hidden="false" customHeight="false" outlineLevel="0" collapsed="false">
      <c r="A38" s="7" t="str">
        <f aca="false">A6</f>
        <v>Bank A – 3M term placement</v>
      </c>
      <c r="B38" s="7"/>
      <c r="C38" s="7"/>
      <c r="D38" s="7"/>
      <c r="E38" s="7"/>
      <c r="F38" s="15" t="n">
        <f aca="false">F22*F30*Assumptions!F$13/Assumptions!$E$5</f>
        <v>5.56791666666667</v>
      </c>
      <c r="G38" s="15" t="n">
        <f aca="false">G22*G30*Assumptions!G$13/Assumptions!$E$5</f>
        <v>5.5</v>
      </c>
      <c r="H38" s="15" t="n">
        <f aca="false">H22*H30*Assumptions!H$13/Assumptions!$E$5</f>
        <v>5.47421875</v>
      </c>
      <c r="I38" s="15" t="n">
        <f aca="false">I22*I30*Assumptions!I$13/Assumptions!$E$5</f>
        <v>5.51041666666667</v>
      </c>
      <c r="J38" s="15" t="n">
        <f aca="false">J22*J30*Assumptions!J$13/Assumptions!$E$5</f>
        <v>5.63020833333333</v>
      </c>
      <c r="K38" s="15" t="n">
        <f aca="false">SUM(G38:J38)</f>
        <v>22.11484375</v>
      </c>
    </row>
    <row r="39" customFormat="false" ht="15" hidden="false" customHeight="false" outlineLevel="0" collapsed="false">
      <c r="A39" s="7" t="str">
        <f aca="false">A7</f>
        <v>Bank B – 6M fixed placement</v>
      </c>
      <c r="B39" s="7"/>
      <c r="C39" s="7"/>
      <c r="D39" s="7"/>
      <c r="E39" s="7"/>
      <c r="F39" s="15" t="n">
        <f aca="false">F23*F31*Assumptions!F$13/Assumptions!$E$5</f>
        <v>3.14333333333333</v>
      </c>
      <c r="G39" s="15" t="n">
        <f aca="false">G23*G31*Assumptions!G$13/Assumptions!$E$5</f>
        <v>2.5625</v>
      </c>
      <c r="H39" s="15" t="n">
        <f aca="false">H23*H31*Assumptions!H$13/Assumptions!$E$5</f>
        <v>2.07277777777778</v>
      </c>
      <c r="I39" s="15" t="n">
        <f aca="false">I23*I31*Assumptions!I$13/Assumptions!$E$5</f>
        <v>2.09555555555556</v>
      </c>
      <c r="J39" s="15" t="n">
        <f aca="false">J23*J31*Assumptions!J$13/Assumptions!$E$5</f>
        <v>2.09555555555556</v>
      </c>
      <c r="K39" s="15" t="n">
        <f aca="false">SUM(G39:J39)</f>
        <v>8.82638888888889</v>
      </c>
    </row>
    <row r="40" customFormat="false" ht="15" hidden="false" customHeight="false" outlineLevel="0" collapsed="false">
      <c r="A40" s="7" t="str">
        <f aca="false">A8</f>
        <v>Bank C – call / overnight</v>
      </c>
      <c r="B40" s="7"/>
      <c r="C40" s="7"/>
      <c r="D40" s="7"/>
      <c r="E40" s="7"/>
      <c r="F40" s="15" t="n">
        <f aca="false">F24*F32*Assumptions!F$13/Assumptions!$E$5</f>
        <v>1.63236111111111</v>
      </c>
      <c r="G40" s="15" t="n">
        <f aca="false">G24*G32*Assumptions!G$13/Assumptions!$E$5</f>
        <v>1.421875</v>
      </c>
      <c r="H40" s="15" t="n">
        <f aca="false">H24*H32*Assumptions!H$13/Assumptions!$E$5</f>
        <v>1.58776041666667</v>
      </c>
      <c r="I40" s="15" t="n">
        <f aca="false">I24*I32*Assumptions!I$13/Assumptions!$E$5</f>
        <v>1.66111111111111</v>
      </c>
      <c r="J40" s="15" t="n">
        <f aca="false">J24*J32*Assumptions!J$13/Assumptions!$E$5</f>
        <v>1.66111111111111</v>
      </c>
      <c r="K40" s="15" t="n">
        <f aca="false">SUM(G40:J40)</f>
        <v>6.33185763888889</v>
      </c>
    </row>
    <row r="41" customFormat="false" ht="15" hidden="false" customHeight="false" outlineLevel="0" collapsed="false">
      <c r="A41" s="7" t="str">
        <f aca="false">A9</f>
        <v>Counterparty 4</v>
      </c>
      <c r="B41" s="7"/>
      <c r="C41" s="7"/>
      <c r="D41" s="7"/>
      <c r="E41" s="7"/>
      <c r="F41" s="15" t="n">
        <f aca="false">F25*F33*Assumptions!F$13/Assumptions!$E$5</f>
        <v>0</v>
      </c>
      <c r="G41" s="15" t="n">
        <f aca="false">G25*G33*Assumptions!G$13/Assumptions!$E$5</f>
        <v>0</v>
      </c>
      <c r="H41" s="15" t="n">
        <f aca="false">H25*H33*Assumptions!H$13/Assumptions!$E$5</f>
        <v>0</v>
      </c>
      <c r="I41" s="15" t="n">
        <f aca="false">I25*I33*Assumptions!I$13/Assumptions!$E$5</f>
        <v>0</v>
      </c>
      <c r="J41" s="15" t="n">
        <f aca="false">J25*J33*Assumptions!J$13/Assumptions!$E$5</f>
        <v>0</v>
      </c>
      <c r="K41" s="15" t="n">
        <f aca="false">SUM(G41:J41)</f>
        <v>0</v>
      </c>
    </row>
    <row r="42" customFormat="false" ht="15" hidden="false" customHeight="false" outlineLevel="0" collapsed="false">
      <c r="A42" s="7" t="str">
        <f aca="false">A10</f>
        <v>Counterparty 5</v>
      </c>
      <c r="B42" s="7"/>
      <c r="C42" s="7"/>
      <c r="D42" s="7"/>
      <c r="E42" s="7"/>
      <c r="F42" s="15" t="n">
        <f aca="false">F26*F34*Assumptions!F$13/Assumptions!$E$5</f>
        <v>0</v>
      </c>
      <c r="G42" s="15" t="n">
        <f aca="false">G26*G34*Assumptions!G$13/Assumptions!$E$5</f>
        <v>0</v>
      </c>
      <c r="H42" s="15" t="n">
        <f aca="false">H26*H34*Assumptions!H$13/Assumptions!$E$5</f>
        <v>0</v>
      </c>
      <c r="I42" s="15" t="n">
        <f aca="false">I26*I34*Assumptions!I$13/Assumptions!$E$5</f>
        <v>0</v>
      </c>
      <c r="J42" s="15" t="n">
        <f aca="false">J26*J34*Assumptions!J$13/Assumptions!$E$5</f>
        <v>0</v>
      </c>
      <c r="K42" s="15" t="n">
        <f aca="false">SUM(G42:J42)</f>
        <v>0</v>
      </c>
    </row>
    <row r="43" customFormat="false" ht="15" hidden="false" customHeight="false" outlineLevel="0" collapsed="false">
      <c r="A43" s="32" t="s">
        <v>83</v>
      </c>
      <c r="B43" s="32"/>
      <c r="C43" s="32"/>
      <c r="D43" s="32"/>
      <c r="E43" s="32"/>
      <c r="F43" s="34" t="n">
        <f aca="false">SUM(F38:F42)</f>
        <v>10.3436111111111</v>
      </c>
      <c r="G43" s="34" t="n">
        <f aca="false">SUM(G38:G42)</f>
        <v>9.484375</v>
      </c>
      <c r="H43" s="34" t="n">
        <f aca="false">SUM(H38:H42)</f>
        <v>9.13475694444445</v>
      </c>
      <c r="I43" s="34" t="n">
        <f aca="false">SUM(I38:I42)</f>
        <v>9.26708333333333</v>
      </c>
      <c r="J43" s="34" t="n">
        <f aca="false">SUM(J38:J42)</f>
        <v>9.386875</v>
      </c>
      <c r="K43" s="34" t="n">
        <f aca="false">SUM(K38:K42)</f>
        <v>37.2730902777778</v>
      </c>
    </row>
  </sheetData>
  <dataValidations count="1">
    <dataValidation allowBlank="true" errorStyle="stop" operator="between" showDropDown="false" showErrorMessage="false" showInputMessage="false" sqref="B6:B10" type="list">
      <formula1>"Fixed,Floating"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5" min="3" style="0" width="13"/>
    <col collapsed="false" customWidth="true" hidden="false" outlineLevel="0" max="11" min="6" style="0" width="12"/>
  </cols>
  <sheetData>
    <row r="1" customFormat="false" ht="17.35" hidden="false" customHeight="false" outlineLevel="0" collapsed="false">
      <c r="A1" s="1" t="s">
        <v>84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customFormat="false" ht="15" hidden="false" customHeight="false" outlineLevel="0" collapsed="false">
      <c r="A2" s="8" t="s">
        <v>59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customFormat="false" ht="15" hidden="false" customHeight="false" outlineLevel="0" collapsed="false">
      <c r="A4" s="12" t="s">
        <v>60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customFormat="false" ht="30" hidden="false" customHeight="true" outlineLevel="0" collapsed="false">
      <c r="A5" s="28" t="s">
        <v>61</v>
      </c>
      <c r="B5" s="28" t="s">
        <v>62</v>
      </c>
      <c r="C5" s="28" t="s">
        <v>63</v>
      </c>
      <c r="D5" s="28" t="s">
        <v>64</v>
      </c>
      <c r="E5" s="28" t="s">
        <v>65</v>
      </c>
      <c r="F5" s="29" t="str">
        <f aca="false">Assumptions!F$10</f>
        <v>Q4-2026</v>
      </c>
      <c r="G5" s="29" t="str">
        <f aca="false">Assumptions!G$10</f>
        <v>Q1-2027</v>
      </c>
      <c r="H5" s="29" t="str">
        <f aca="false">Assumptions!H$10</f>
        <v>Q2-2027</v>
      </c>
      <c r="I5" s="29" t="str">
        <f aca="false">Assumptions!I$10</f>
        <v>Q3-2027</v>
      </c>
      <c r="J5" s="29" t="str">
        <f aca="false">Assumptions!J$10</f>
        <v>Q4-2027</v>
      </c>
      <c r="K5" s="25" t="s">
        <v>21</v>
      </c>
    </row>
    <row r="6" customFormat="false" ht="15" hidden="false" customHeight="false" outlineLevel="0" collapsed="false">
      <c r="A6" s="4" t="s">
        <v>85</v>
      </c>
      <c r="B6" s="4" t="s">
        <v>69</v>
      </c>
      <c r="C6" s="30" t="n">
        <v>0.039</v>
      </c>
      <c r="D6" s="30" t="n">
        <v>0</v>
      </c>
      <c r="E6" s="31" t="n">
        <v>1000</v>
      </c>
      <c r="F6" s="31" t="n">
        <v>0</v>
      </c>
      <c r="G6" s="31" t="n">
        <v>0</v>
      </c>
      <c r="H6" s="31" t="n">
        <v>-200</v>
      </c>
      <c r="I6" s="31" t="n">
        <v>0</v>
      </c>
      <c r="J6" s="31" t="n">
        <v>0</v>
      </c>
      <c r="K6" s="15" t="n">
        <f aca="false">SUM(G6:J6)</f>
        <v>-200</v>
      </c>
    </row>
    <row r="7" customFormat="false" ht="15" hidden="false" customHeight="false" outlineLevel="0" collapsed="false">
      <c r="A7" s="4" t="s">
        <v>86</v>
      </c>
      <c r="B7" s="4" t="s">
        <v>67</v>
      </c>
      <c r="C7" s="30" t="n">
        <v>0</v>
      </c>
      <c r="D7" s="30" t="n">
        <v>-0.0025</v>
      </c>
      <c r="E7" s="31" t="n">
        <v>600</v>
      </c>
      <c r="F7" s="31" t="n">
        <v>100</v>
      </c>
      <c r="G7" s="31" t="n">
        <v>0</v>
      </c>
      <c r="H7" s="31" t="n">
        <v>0</v>
      </c>
      <c r="I7" s="31" t="n">
        <v>50</v>
      </c>
      <c r="J7" s="31" t="n">
        <v>0</v>
      </c>
      <c r="K7" s="15" t="n">
        <f aca="false">SUM(G7:J7)</f>
        <v>50</v>
      </c>
    </row>
    <row r="8" customFormat="false" ht="15" hidden="false" customHeight="false" outlineLevel="0" collapsed="false">
      <c r="A8" s="4" t="s">
        <v>87</v>
      </c>
      <c r="B8" s="4" t="s">
        <v>69</v>
      </c>
      <c r="C8" s="30" t="n">
        <v>0.005</v>
      </c>
      <c r="D8" s="30" t="n">
        <v>0</v>
      </c>
      <c r="E8" s="31" t="n">
        <v>250</v>
      </c>
      <c r="F8" s="31" t="n">
        <v>0</v>
      </c>
      <c r="G8" s="31" t="n">
        <v>0</v>
      </c>
      <c r="H8" s="31" t="n">
        <v>0</v>
      </c>
      <c r="I8" s="31" t="n">
        <v>0</v>
      </c>
      <c r="J8" s="31" t="n">
        <v>0</v>
      </c>
      <c r="K8" s="15" t="n">
        <f aca="false">SUM(G8:J8)</f>
        <v>0</v>
      </c>
    </row>
    <row r="9" customFormat="false" ht="15" hidden="false" customHeight="false" outlineLevel="0" collapsed="false">
      <c r="A9" s="4" t="s">
        <v>88</v>
      </c>
      <c r="B9" s="4" t="s">
        <v>67</v>
      </c>
      <c r="C9" s="30" t="n">
        <v>0</v>
      </c>
      <c r="D9" s="30" t="n">
        <v>0</v>
      </c>
      <c r="E9" s="31" t="n">
        <v>0</v>
      </c>
      <c r="F9" s="31" t="n">
        <v>0</v>
      </c>
      <c r="G9" s="31" t="n">
        <v>0</v>
      </c>
      <c r="H9" s="31" t="n">
        <v>0</v>
      </c>
      <c r="I9" s="31" t="n">
        <v>0</v>
      </c>
      <c r="J9" s="31" t="n">
        <v>0</v>
      </c>
      <c r="K9" s="15" t="n">
        <f aca="false">SUM(G9:J9)</f>
        <v>0</v>
      </c>
    </row>
    <row r="10" customFormat="false" ht="15" hidden="false" customHeight="false" outlineLevel="0" collapsed="false">
      <c r="A10" s="4" t="s">
        <v>89</v>
      </c>
      <c r="B10" s="4" t="s">
        <v>67</v>
      </c>
      <c r="C10" s="30" t="n">
        <v>0</v>
      </c>
      <c r="D10" s="30" t="n">
        <v>0</v>
      </c>
      <c r="E10" s="31" t="n">
        <v>0</v>
      </c>
      <c r="F10" s="31" t="n">
        <v>0</v>
      </c>
      <c r="G10" s="31" t="n">
        <v>0</v>
      </c>
      <c r="H10" s="31" t="n">
        <v>0</v>
      </c>
      <c r="I10" s="31" t="n">
        <v>0</v>
      </c>
      <c r="J10" s="31" t="n">
        <v>0</v>
      </c>
      <c r="K10" s="15" t="n">
        <f aca="false">SUM(G10:J10)</f>
        <v>0</v>
      </c>
    </row>
    <row r="11" customFormat="false" ht="15" hidden="false" customHeight="false" outlineLevel="0" collapsed="false">
      <c r="A11" s="32" t="s">
        <v>73</v>
      </c>
      <c r="B11" s="33"/>
      <c r="C11" s="33"/>
      <c r="D11" s="33"/>
      <c r="E11" s="34" t="n">
        <f aca="false">SUM(E6:E10)</f>
        <v>1850</v>
      </c>
      <c r="F11" s="34" t="n">
        <f aca="false">SUM(F6:F10)</f>
        <v>100</v>
      </c>
      <c r="G11" s="34" t="n">
        <f aca="false">SUM(G6:G10)</f>
        <v>0</v>
      </c>
      <c r="H11" s="34" t="n">
        <f aca="false">SUM(H6:H10)</f>
        <v>-200</v>
      </c>
      <c r="I11" s="34" t="n">
        <f aca="false">SUM(I6:I10)</f>
        <v>50</v>
      </c>
      <c r="J11" s="34" t="n">
        <f aca="false">SUM(J6:J10)</f>
        <v>0</v>
      </c>
      <c r="K11" s="34" t="n">
        <f aca="false">SUM(K6:K10)</f>
        <v>-150</v>
      </c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customFormat="false" ht="15" hidden="false" customHeight="false" outlineLevel="0" collapsed="false">
      <c r="A13" s="12" t="s">
        <v>74</v>
      </c>
      <c r="B13" s="13"/>
      <c r="C13" s="13"/>
      <c r="D13" s="13"/>
      <c r="E13" s="13"/>
      <c r="F13" s="35" t="str">
        <f aca="false">Assumptions!F$10</f>
        <v>Q4-2026</v>
      </c>
      <c r="G13" s="35" t="str">
        <f aca="false">Assumptions!G$10</f>
        <v>Q1-2027</v>
      </c>
      <c r="H13" s="35" t="str">
        <f aca="false">Assumptions!H$10</f>
        <v>Q2-2027</v>
      </c>
      <c r="I13" s="35" t="str">
        <f aca="false">Assumptions!I$10</f>
        <v>Q3-2027</v>
      </c>
      <c r="J13" s="35" t="str">
        <f aca="false">Assumptions!J$10</f>
        <v>Q4-2027</v>
      </c>
      <c r="K13" s="36" t="s">
        <v>75</v>
      </c>
    </row>
    <row r="14" customFormat="false" ht="15" hidden="false" customHeight="false" outlineLevel="0" collapsed="false">
      <c r="A14" s="7" t="str">
        <f aca="false">A6</f>
        <v>Ministry of Finance – term deposit</v>
      </c>
      <c r="B14" s="7"/>
      <c r="C14" s="7"/>
      <c r="D14" s="7"/>
      <c r="E14" s="7"/>
      <c r="F14" s="15" t="n">
        <f aca="false">$E6+F6</f>
        <v>1000</v>
      </c>
      <c r="G14" s="15" t="n">
        <f aca="false">F14+G6</f>
        <v>1000</v>
      </c>
      <c r="H14" s="15" t="n">
        <f aca="false">G14+H6</f>
        <v>800</v>
      </c>
      <c r="I14" s="15" t="n">
        <f aca="false">H14+I6</f>
        <v>800</v>
      </c>
      <c r="J14" s="15" t="n">
        <f aca="false">I14+J6</f>
        <v>800</v>
      </c>
      <c r="K14" s="15" t="n">
        <f aca="false">J14</f>
        <v>800</v>
      </c>
    </row>
    <row r="15" customFormat="false" ht="15" hidden="false" customHeight="false" outlineLevel="0" collapsed="false">
      <c r="A15" s="7" t="str">
        <f aca="false">A7</f>
        <v>Govt entity X – floating deposit</v>
      </c>
      <c r="B15" s="7"/>
      <c r="C15" s="7"/>
      <c r="D15" s="7"/>
      <c r="E15" s="7"/>
      <c r="F15" s="15" t="n">
        <f aca="false">$E7+F7</f>
        <v>700</v>
      </c>
      <c r="G15" s="15" t="n">
        <f aca="false">F15+G7</f>
        <v>700</v>
      </c>
      <c r="H15" s="15" t="n">
        <f aca="false">G15+H7</f>
        <v>700</v>
      </c>
      <c r="I15" s="15" t="n">
        <f aca="false">H15+I7</f>
        <v>750</v>
      </c>
      <c r="J15" s="15" t="n">
        <f aca="false">I15+J7</f>
        <v>750</v>
      </c>
      <c r="K15" s="15" t="n">
        <f aca="false">J15</f>
        <v>750</v>
      </c>
    </row>
    <row r="16" customFormat="false" ht="15" hidden="false" customHeight="false" outlineLevel="0" collapsed="false">
      <c r="A16" s="7" t="str">
        <f aca="false">A8</f>
        <v>Govt-related entity – call account</v>
      </c>
      <c r="B16" s="7"/>
      <c r="C16" s="7"/>
      <c r="D16" s="7"/>
      <c r="E16" s="7"/>
      <c r="F16" s="15" t="n">
        <f aca="false">$E8+F8</f>
        <v>250</v>
      </c>
      <c r="G16" s="15" t="n">
        <f aca="false">F16+G8</f>
        <v>250</v>
      </c>
      <c r="H16" s="15" t="n">
        <f aca="false">G16+H8</f>
        <v>250</v>
      </c>
      <c r="I16" s="15" t="n">
        <f aca="false">H16+I8</f>
        <v>250</v>
      </c>
      <c r="J16" s="15" t="n">
        <f aca="false">I16+J8</f>
        <v>250</v>
      </c>
      <c r="K16" s="15" t="n">
        <f aca="false">J16</f>
        <v>250</v>
      </c>
    </row>
    <row r="17" customFormat="false" ht="15" hidden="false" customHeight="false" outlineLevel="0" collapsed="false">
      <c r="A17" s="7" t="str">
        <f aca="false">A9</f>
        <v>Depositor 4</v>
      </c>
      <c r="B17" s="7"/>
      <c r="C17" s="7"/>
      <c r="D17" s="7"/>
      <c r="E17" s="7"/>
      <c r="F17" s="15" t="n">
        <f aca="false">$E9+F9</f>
        <v>0</v>
      </c>
      <c r="G17" s="15" t="n">
        <f aca="false">F17+G9</f>
        <v>0</v>
      </c>
      <c r="H17" s="15" t="n">
        <f aca="false">G17+H9</f>
        <v>0</v>
      </c>
      <c r="I17" s="15" t="n">
        <f aca="false">H17+I9</f>
        <v>0</v>
      </c>
      <c r="J17" s="15" t="n">
        <f aca="false">I17+J9</f>
        <v>0</v>
      </c>
      <c r="K17" s="15" t="n">
        <f aca="false">J17</f>
        <v>0</v>
      </c>
    </row>
    <row r="18" customFormat="false" ht="15" hidden="false" customHeight="false" outlineLevel="0" collapsed="false">
      <c r="A18" s="7" t="str">
        <f aca="false">A10</f>
        <v>Depositor 5</v>
      </c>
      <c r="B18" s="7"/>
      <c r="C18" s="7"/>
      <c r="D18" s="7"/>
      <c r="E18" s="7"/>
      <c r="F18" s="15" t="n">
        <f aca="false">$E10+F10</f>
        <v>0</v>
      </c>
      <c r="G18" s="15" t="n">
        <f aca="false">F18+G10</f>
        <v>0</v>
      </c>
      <c r="H18" s="15" t="n">
        <f aca="false">G18+H10</f>
        <v>0</v>
      </c>
      <c r="I18" s="15" t="n">
        <f aca="false">H18+I10</f>
        <v>0</v>
      </c>
      <c r="J18" s="15" t="n">
        <f aca="false">I18+J10</f>
        <v>0</v>
      </c>
      <c r="K18" s="15" t="n">
        <f aca="false">J18</f>
        <v>0</v>
      </c>
    </row>
    <row r="19" customFormat="false" ht="15" hidden="false" customHeight="false" outlineLevel="0" collapsed="false">
      <c r="A19" s="32" t="s">
        <v>76</v>
      </c>
      <c r="B19" s="32"/>
      <c r="C19" s="32"/>
      <c r="D19" s="32"/>
      <c r="E19" s="32"/>
      <c r="F19" s="34" t="n">
        <f aca="false">SUM(F14:F18)</f>
        <v>1950</v>
      </c>
      <c r="G19" s="34" t="n">
        <f aca="false">SUM(G14:G18)</f>
        <v>1950</v>
      </c>
      <c r="H19" s="34" t="n">
        <f aca="false">SUM(H14:H18)</f>
        <v>1750</v>
      </c>
      <c r="I19" s="34" t="n">
        <f aca="false">SUM(I14:I18)</f>
        <v>1800</v>
      </c>
      <c r="J19" s="34" t="n">
        <f aca="false">SUM(J14:J18)</f>
        <v>1800</v>
      </c>
      <c r="K19" s="34" t="n">
        <f aca="false">SUM(K14:K18)</f>
        <v>1800</v>
      </c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customFormat="false" ht="15" hidden="false" customHeight="false" outlineLevel="0" collapsed="false">
      <c r="A21" s="12" t="s">
        <v>77</v>
      </c>
      <c r="B21" s="13"/>
      <c r="C21" s="13"/>
      <c r="D21" s="13"/>
      <c r="E21" s="13"/>
      <c r="F21" s="35" t="str">
        <f aca="false">Assumptions!F$10</f>
        <v>Q4-2026</v>
      </c>
      <c r="G21" s="35" t="str">
        <f aca="false">Assumptions!G$10</f>
        <v>Q1-2027</v>
      </c>
      <c r="H21" s="35" t="str">
        <f aca="false">Assumptions!H$10</f>
        <v>Q2-2027</v>
      </c>
      <c r="I21" s="35" t="str">
        <f aca="false">Assumptions!I$10</f>
        <v>Q3-2027</v>
      </c>
      <c r="J21" s="35" t="str">
        <f aca="false">Assumptions!J$10</f>
        <v>Q4-2027</v>
      </c>
      <c r="K21" s="36" t="s">
        <v>78</v>
      </c>
    </row>
    <row r="22" customFormat="false" ht="15" hidden="false" customHeight="false" outlineLevel="0" collapsed="false">
      <c r="A22" s="7" t="str">
        <f aca="false">A6</f>
        <v>Ministry of Finance – term deposit</v>
      </c>
      <c r="B22" s="7"/>
      <c r="C22" s="7"/>
      <c r="D22" s="7"/>
      <c r="E22" s="7"/>
      <c r="F22" s="15" t="n">
        <f aca="false">($E6+F14)/2</f>
        <v>1000</v>
      </c>
      <c r="G22" s="15" t="n">
        <f aca="false">(F14+G14)/2</f>
        <v>1000</v>
      </c>
      <c r="H22" s="15" t="n">
        <f aca="false">(G14+H14)/2</f>
        <v>900</v>
      </c>
      <c r="I22" s="15" t="n">
        <f aca="false">(H14+I14)/2</f>
        <v>800</v>
      </c>
      <c r="J22" s="15" t="n">
        <f aca="false">(I14+J14)/2</f>
        <v>800</v>
      </c>
      <c r="K22" s="15" t="n">
        <f aca="false">SUMPRODUCT(G22:J22,Assumptions!$G$13:$J$13)/SUM(Assumptions!$G$13:$J$13)</f>
        <v>874.246575342466</v>
      </c>
    </row>
    <row r="23" customFormat="false" ht="15" hidden="false" customHeight="false" outlineLevel="0" collapsed="false">
      <c r="A23" s="7" t="str">
        <f aca="false">A7</f>
        <v>Govt entity X – floating deposit</v>
      </c>
      <c r="B23" s="7"/>
      <c r="C23" s="7"/>
      <c r="D23" s="7"/>
      <c r="E23" s="7"/>
      <c r="F23" s="15" t="n">
        <f aca="false">($E7+F15)/2</f>
        <v>650</v>
      </c>
      <c r="G23" s="15" t="n">
        <f aca="false">(F15+G15)/2</f>
        <v>700</v>
      </c>
      <c r="H23" s="15" t="n">
        <f aca="false">(G15+H15)/2</f>
        <v>700</v>
      </c>
      <c r="I23" s="15" t="n">
        <f aca="false">(H15+I15)/2</f>
        <v>725</v>
      </c>
      <c r="J23" s="15" t="n">
        <f aca="false">(I15+J15)/2</f>
        <v>750</v>
      </c>
      <c r="K23" s="15" t="n">
        <f aca="false">SUMPRODUCT(G23:J23,Assumptions!$G$13:$J$13)/SUM(Assumptions!$G$13:$J$13)</f>
        <v>718.904109589041</v>
      </c>
    </row>
    <row r="24" customFormat="false" ht="15" hidden="false" customHeight="false" outlineLevel="0" collapsed="false">
      <c r="A24" s="7" t="str">
        <f aca="false">A8</f>
        <v>Govt-related entity – call account</v>
      </c>
      <c r="B24" s="7"/>
      <c r="C24" s="7"/>
      <c r="D24" s="7"/>
      <c r="E24" s="7"/>
      <c r="F24" s="15" t="n">
        <f aca="false">($E8+F16)/2</f>
        <v>250</v>
      </c>
      <c r="G24" s="15" t="n">
        <f aca="false">(F16+G16)/2</f>
        <v>250</v>
      </c>
      <c r="H24" s="15" t="n">
        <f aca="false">(G16+H16)/2</f>
        <v>250</v>
      </c>
      <c r="I24" s="15" t="n">
        <f aca="false">(H16+I16)/2</f>
        <v>250</v>
      </c>
      <c r="J24" s="15" t="n">
        <f aca="false">(I16+J16)/2</f>
        <v>250</v>
      </c>
      <c r="K24" s="15" t="n">
        <f aca="false">SUMPRODUCT(G24:J24,Assumptions!$G$13:$J$13)/SUM(Assumptions!$G$13:$J$13)</f>
        <v>250</v>
      </c>
    </row>
    <row r="25" customFormat="false" ht="15" hidden="false" customHeight="false" outlineLevel="0" collapsed="false">
      <c r="A25" s="7" t="str">
        <f aca="false">A9</f>
        <v>Depositor 4</v>
      </c>
      <c r="B25" s="7"/>
      <c r="C25" s="7"/>
      <c r="D25" s="7"/>
      <c r="E25" s="7"/>
      <c r="F25" s="15" t="n">
        <f aca="false">($E9+F17)/2</f>
        <v>0</v>
      </c>
      <c r="G25" s="15" t="n">
        <f aca="false">(F17+G17)/2</f>
        <v>0</v>
      </c>
      <c r="H25" s="15" t="n">
        <f aca="false">(G17+H17)/2</f>
        <v>0</v>
      </c>
      <c r="I25" s="15" t="n">
        <f aca="false">(H17+I17)/2</f>
        <v>0</v>
      </c>
      <c r="J25" s="15" t="n">
        <f aca="false">(I17+J17)/2</f>
        <v>0</v>
      </c>
      <c r="K25" s="15" t="n">
        <f aca="false">SUMPRODUCT(G25:J25,Assumptions!$G$13:$J$13)/SUM(Assumptions!$G$13:$J$13)</f>
        <v>0</v>
      </c>
    </row>
    <row r="26" customFormat="false" ht="15" hidden="false" customHeight="false" outlineLevel="0" collapsed="false">
      <c r="A26" s="7" t="str">
        <f aca="false">A10</f>
        <v>Depositor 5</v>
      </c>
      <c r="B26" s="7"/>
      <c r="C26" s="7"/>
      <c r="D26" s="7"/>
      <c r="E26" s="7"/>
      <c r="F26" s="15" t="n">
        <f aca="false">($E10+F18)/2</f>
        <v>0</v>
      </c>
      <c r="G26" s="15" t="n">
        <f aca="false">(F18+G18)/2</f>
        <v>0</v>
      </c>
      <c r="H26" s="15" t="n">
        <f aca="false">(G18+H18)/2</f>
        <v>0</v>
      </c>
      <c r="I26" s="15" t="n">
        <f aca="false">(H18+I18)/2</f>
        <v>0</v>
      </c>
      <c r="J26" s="15" t="n">
        <f aca="false">(I18+J18)/2</f>
        <v>0</v>
      </c>
      <c r="K26" s="15" t="n">
        <f aca="false">SUMPRODUCT(G26:J26,Assumptions!$G$13:$J$13)/SUM(Assumptions!$G$13:$J$13)</f>
        <v>0</v>
      </c>
    </row>
    <row r="27" customFormat="false" ht="15" hidden="false" customHeight="false" outlineLevel="0" collapsed="false">
      <c r="A27" s="32" t="s">
        <v>79</v>
      </c>
      <c r="B27" s="32"/>
      <c r="C27" s="32"/>
      <c r="D27" s="32"/>
      <c r="E27" s="32"/>
      <c r="F27" s="34" t="n">
        <f aca="false">SUM(F22:F26)</f>
        <v>1900</v>
      </c>
      <c r="G27" s="34" t="n">
        <f aca="false">SUM(G22:G26)</f>
        <v>1950</v>
      </c>
      <c r="H27" s="34" t="n">
        <f aca="false">SUM(H22:H26)</f>
        <v>1850</v>
      </c>
      <c r="I27" s="34" t="n">
        <f aca="false">SUM(I22:I26)</f>
        <v>1775</v>
      </c>
      <c r="J27" s="34" t="n">
        <f aca="false">SUM(J22:J26)</f>
        <v>1800</v>
      </c>
      <c r="K27" s="34" t="n">
        <f aca="false">SUM(K22:K26)</f>
        <v>1843.15068493151</v>
      </c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customFormat="false" ht="15" hidden="false" customHeight="false" outlineLevel="0" collapsed="false">
      <c r="A29" s="12" t="s">
        <v>80</v>
      </c>
      <c r="B29" s="13"/>
      <c r="C29" s="13"/>
      <c r="D29" s="13"/>
      <c r="E29" s="13"/>
      <c r="F29" s="35" t="str">
        <f aca="false">Assumptions!F$10</f>
        <v>Q4-2026</v>
      </c>
      <c r="G29" s="35" t="str">
        <f aca="false">Assumptions!G$10</f>
        <v>Q1-2027</v>
      </c>
      <c r="H29" s="35" t="str">
        <f aca="false">Assumptions!H$10</f>
        <v>Q2-2027</v>
      </c>
      <c r="I29" s="35" t="str">
        <f aca="false">Assumptions!I$10</f>
        <v>Q3-2027</v>
      </c>
      <c r="J29" s="35" t="str">
        <f aca="false">Assumptions!J$10</f>
        <v>Q4-2027</v>
      </c>
      <c r="K29" s="36"/>
    </row>
    <row r="30" customFormat="false" ht="15" hidden="false" customHeight="false" outlineLevel="0" collapsed="false">
      <c r="A30" s="7" t="str">
        <f aca="false">A6</f>
        <v>Ministry of Finance – term deposit</v>
      </c>
      <c r="B30" s="7"/>
      <c r="C30" s="7"/>
      <c r="D30" s="7"/>
      <c r="E30" s="7"/>
      <c r="F30" s="18" t="n">
        <f aca="false">IF($B6="Fixed",$C6,Assumptions!F$14+$D6+Assumptions!$E$6)</f>
        <v>0.039</v>
      </c>
      <c r="G30" s="18" t="n">
        <f aca="false">IF($B6="Fixed",$C6,Assumptions!G$14+$D6+Assumptions!$E$6)</f>
        <v>0.039</v>
      </c>
      <c r="H30" s="18" t="n">
        <f aca="false">IF($B6="Fixed",$C6,Assumptions!H$14+$D6+Assumptions!$E$6)</f>
        <v>0.039</v>
      </c>
      <c r="I30" s="18" t="n">
        <f aca="false">IF($B6="Fixed",$C6,Assumptions!I$14+$D6+Assumptions!$E$6)</f>
        <v>0.039</v>
      </c>
      <c r="J30" s="18" t="n">
        <f aca="false">IF($B6="Fixed",$C6,Assumptions!J$14+$D6+Assumptions!$E$6)</f>
        <v>0.039</v>
      </c>
      <c r="K30" s="7"/>
    </row>
    <row r="31" customFormat="false" ht="15" hidden="false" customHeight="false" outlineLevel="0" collapsed="false">
      <c r="A31" s="7" t="str">
        <f aca="false">A7</f>
        <v>Govt entity X – floating deposit</v>
      </c>
      <c r="B31" s="7"/>
      <c r="C31" s="7"/>
      <c r="D31" s="7"/>
      <c r="E31" s="7"/>
      <c r="F31" s="18" t="n">
        <f aca="false">IF($B7="Fixed",$C7,Assumptions!F$14+$D7+Assumptions!$E$6)</f>
        <v>0.0365</v>
      </c>
      <c r="G31" s="18" t="n">
        <f aca="false">IF($B7="Fixed",$C7,Assumptions!G$14+$D7+Assumptions!$E$6)</f>
        <v>0.035</v>
      </c>
      <c r="H31" s="18" t="n">
        <f aca="false">IF($B7="Fixed",$C7,Assumptions!H$14+$D7+Assumptions!$E$6)</f>
        <v>0.0335</v>
      </c>
      <c r="I31" s="18" t="n">
        <f aca="false">IF($B7="Fixed",$C7,Assumptions!I$14+$D7+Assumptions!$E$6)</f>
        <v>0.0325</v>
      </c>
      <c r="J31" s="18" t="n">
        <f aca="false">IF($B7="Fixed",$C7,Assumptions!J$14+$D7+Assumptions!$E$6)</f>
        <v>0.0325</v>
      </c>
      <c r="K31" s="7"/>
    </row>
    <row r="32" customFormat="false" ht="15" hidden="false" customHeight="false" outlineLevel="0" collapsed="false">
      <c r="A32" s="7" t="str">
        <f aca="false">A8</f>
        <v>Govt-related entity – call account</v>
      </c>
      <c r="B32" s="7"/>
      <c r="C32" s="7"/>
      <c r="D32" s="7"/>
      <c r="E32" s="7"/>
      <c r="F32" s="18" t="n">
        <f aca="false">IF($B8="Fixed",$C8,Assumptions!F$14+$D8+Assumptions!$E$6)</f>
        <v>0.005</v>
      </c>
      <c r="G32" s="18" t="n">
        <f aca="false">IF($B8="Fixed",$C8,Assumptions!G$14+$D8+Assumptions!$E$6)</f>
        <v>0.005</v>
      </c>
      <c r="H32" s="18" t="n">
        <f aca="false">IF($B8="Fixed",$C8,Assumptions!H$14+$D8+Assumptions!$E$6)</f>
        <v>0.005</v>
      </c>
      <c r="I32" s="18" t="n">
        <f aca="false">IF($B8="Fixed",$C8,Assumptions!I$14+$D8+Assumptions!$E$6)</f>
        <v>0.005</v>
      </c>
      <c r="J32" s="18" t="n">
        <f aca="false">IF($B8="Fixed",$C8,Assumptions!J$14+$D8+Assumptions!$E$6)</f>
        <v>0.005</v>
      </c>
      <c r="K32" s="7"/>
    </row>
    <row r="33" customFormat="false" ht="15" hidden="false" customHeight="false" outlineLevel="0" collapsed="false">
      <c r="A33" s="7" t="str">
        <f aca="false">A9</f>
        <v>Depositor 4</v>
      </c>
      <c r="B33" s="7"/>
      <c r="C33" s="7"/>
      <c r="D33" s="7"/>
      <c r="E33" s="7"/>
      <c r="F33" s="18" t="n">
        <f aca="false">IF($B9="Fixed",$C9,Assumptions!F$14+$D9+Assumptions!$E$6)</f>
        <v>0.039</v>
      </c>
      <c r="G33" s="18" t="n">
        <f aca="false">IF($B9="Fixed",$C9,Assumptions!G$14+$D9+Assumptions!$E$6)</f>
        <v>0.0375</v>
      </c>
      <c r="H33" s="18" t="n">
        <f aca="false">IF($B9="Fixed",$C9,Assumptions!H$14+$D9+Assumptions!$E$6)</f>
        <v>0.036</v>
      </c>
      <c r="I33" s="18" t="n">
        <f aca="false">IF($B9="Fixed",$C9,Assumptions!I$14+$D9+Assumptions!$E$6)</f>
        <v>0.035</v>
      </c>
      <c r="J33" s="18" t="n">
        <f aca="false">IF($B9="Fixed",$C9,Assumptions!J$14+$D9+Assumptions!$E$6)</f>
        <v>0.035</v>
      </c>
      <c r="K33" s="7"/>
    </row>
    <row r="34" customFormat="false" ht="15" hidden="false" customHeight="false" outlineLevel="0" collapsed="false">
      <c r="A34" s="7" t="str">
        <f aca="false">A10</f>
        <v>Depositor 5</v>
      </c>
      <c r="B34" s="7"/>
      <c r="C34" s="7"/>
      <c r="D34" s="7"/>
      <c r="E34" s="7"/>
      <c r="F34" s="18" t="n">
        <f aca="false">IF($B10="Fixed",$C10,Assumptions!F$14+$D10+Assumptions!$E$6)</f>
        <v>0.039</v>
      </c>
      <c r="G34" s="18" t="n">
        <f aca="false">IF($B10="Fixed",$C10,Assumptions!G$14+$D10+Assumptions!$E$6)</f>
        <v>0.0375</v>
      </c>
      <c r="H34" s="18" t="n">
        <f aca="false">IF($B10="Fixed",$C10,Assumptions!H$14+$D10+Assumptions!$E$6)</f>
        <v>0.036</v>
      </c>
      <c r="I34" s="18" t="n">
        <f aca="false">IF($B10="Fixed",$C10,Assumptions!I$14+$D10+Assumptions!$E$6)</f>
        <v>0.035</v>
      </c>
      <c r="J34" s="18" t="n">
        <f aca="false">IF($B10="Fixed",$C10,Assumptions!J$14+$D10+Assumptions!$E$6)</f>
        <v>0.035</v>
      </c>
      <c r="K34" s="7"/>
    </row>
    <row r="35" customFormat="false" ht="15" hidden="false" customHeight="false" outlineLevel="0" collapsed="false">
      <c r="A35" s="32" t="s">
        <v>81</v>
      </c>
      <c r="B35" s="32"/>
      <c r="C35" s="32"/>
      <c r="D35" s="32"/>
      <c r="E35" s="32"/>
      <c r="F35" s="37" t="n">
        <f aca="false">IFERROR(F43/F27*Assumptions!$E$5/Assumptions!F$13,0)</f>
        <v>0.0336710526315789</v>
      </c>
      <c r="G35" s="37" t="n">
        <f aca="false">IFERROR(G43/G27*Assumptions!$E$5/Assumptions!G$13,0)</f>
        <v>0.0332051282051282</v>
      </c>
      <c r="H35" s="37" t="n">
        <f aca="false">IFERROR(H43/H27*Assumptions!$E$5/Assumptions!H$13,0)</f>
        <v>0.0323243243243243</v>
      </c>
      <c r="I35" s="37" t="n">
        <f aca="false">IFERROR(I43/I27*Assumptions!$E$5/Assumptions!I$13,0)</f>
        <v>0.031556338028169</v>
      </c>
      <c r="J35" s="37" t="n">
        <f aca="false">IFERROR(J43/J27*Assumptions!$E$5/Assumptions!J$13,0)</f>
        <v>0.0315694444444444</v>
      </c>
      <c r="K35" s="37" t="n">
        <f aca="false">IFERROR(K43/K27*Assumptions!$E$5/SUM(Assumptions!$G$13:$J$13),0)</f>
        <v>0.0321818654775177</v>
      </c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customFormat="false" ht="15" hidden="false" customHeight="false" outlineLevel="0" collapsed="false">
      <c r="A37" s="12" t="s">
        <v>90</v>
      </c>
      <c r="B37" s="13"/>
      <c r="C37" s="13"/>
      <c r="D37" s="13"/>
      <c r="E37" s="13"/>
      <c r="F37" s="35" t="str">
        <f aca="false">Assumptions!F$10</f>
        <v>Q4-2026</v>
      </c>
      <c r="G37" s="35" t="str">
        <f aca="false">Assumptions!G$10</f>
        <v>Q1-2027</v>
      </c>
      <c r="H37" s="35" t="str">
        <f aca="false">Assumptions!H$10</f>
        <v>Q2-2027</v>
      </c>
      <c r="I37" s="35" t="str">
        <f aca="false">Assumptions!I$10</f>
        <v>Q3-2027</v>
      </c>
      <c r="J37" s="35" t="str">
        <f aca="false">Assumptions!J$10</f>
        <v>Q4-2027</v>
      </c>
      <c r="K37" s="36" t="s">
        <v>21</v>
      </c>
    </row>
    <row r="38" customFormat="false" ht="15" hidden="false" customHeight="false" outlineLevel="0" collapsed="false">
      <c r="A38" s="7" t="str">
        <f aca="false">A6</f>
        <v>Ministry of Finance – term deposit</v>
      </c>
      <c r="B38" s="7"/>
      <c r="C38" s="7"/>
      <c r="D38" s="7"/>
      <c r="E38" s="7"/>
      <c r="F38" s="15" t="n">
        <f aca="false">F22*F30*Assumptions!F$13/Assumptions!$E$5</f>
        <v>9.96666666666667</v>
      </c>
      <c r="G38" s="15" t="n">
        <f aca="false">G22*G30*Assumptions!G$13/Assumptions!$E$5</f>
        <v>9.75</v>
      </c>
      <c r="H38" s="15" t="n">
        <f aca="false">H22*H30*Assumptions!H$13/Assumptions!$E$5</f>
        <v>8.8725</v>
      </c>
      <c r="I38" s="15" t="n">
        <f aca="false">I22*I30*Assumptions!I$13/Assumptions!$E$5</f>
        <v>7.97333333333333</v>
      </c>
      <c r="J38" s="15" t="n">
        <f aca="false">J22*J30*Assumptions!J$13/Assumptions!$E$5</f>
        <v>7.97333333333333</v>
      </c>
      <c r="K38" s="15" t="n">
        <f aca="false">SUM(G38:J38)</f>
        <v>34.5691666666667</v>
      </c>
    </row>
    <row r="39" customFormat="false" ht="15" hidden="false" customHeight="false" outlineLevel="0" collapsed="false">
      <c r="A39" s="7" t="str">
        <f aca="false">A7</f>
        <v>Govt entity X – floating deposit</v>
      </c>
      <c r="B39" s="7"/>
      <c r="C39" s="7"/>
      <c r="D39" s="7"/>
      <c r="E39" s="7"/>
      <c r="F39" s="15" t="n">
        <f aca="false">F23*F31*Assumptions!F$13/Assumptions!$E$5</f>
        <v>6.06305555555556</v>
      </c>
      <c r="G39" s="15" t="n">
        <f aca="false">G23*G31*Assumptions!G$13/Assumptions!$E$5</f>
        <v>6.125</v>
      </c>
      <c r="H39" s="15" t="n">
        <f aca="false">H23*H31*Assumptions!H$13/Assumptions!$E$5</f>
        <v>5.92763888888889</v>
      </c>
      <c r="I39" s="15" t="n">
        <f aca="false">I23*I31*Assumptions!I$13/Assumptions!$E$5</f>
        <v>6.02152777777778</v>
      </c>
      <c r="J39" s="15" t="n">
        <f aca="false">J23*J31*Assumptions!J$13/Assumptions!$E$5</f>
        <v>6.22916666666667</v>
      </c>
      <c r="K39" s="15" t="n">
        <f aca="false">SUM(G39:J39)</f>
        <v>24.3033333333333</v>
      </c>
    </row>
    <row r="40" customFormat="false" ht="15" hidden="false" customHeight="false" outlineLevel="0" collapsed="false">
      <c r="A40" s="7" t="str">
        <f aca="false">A8</f>
        <v>Govt-related entity – call account</v>
      </c>
      <c r="B40" s="7"/>
      <c r="C40" s="7"/>
      <c r="D40" s="7"/>
      <c r="E40" s="7"/>
      <c r="F40" s="15" t="n">
        <f aca="false">F24*F32*Assumptions!F$13/Assumptions!$E$5</f>
        <v>0.319444444444444</v>
      </c>
      <c r="G40" s="15" t="n">
        <f aca="false">G24*G32*Assumptions!G$13/Assumptions!$E$5</f>
        <v>0.3125</v>
      </c>
      <c r="H40" s="15" t="n">
        <f aca="false">H24*H32*Assumptions!H$13/Assumptions!$E$5</f>
        <v>0.315972222222222</v>
      </c>
      <c r="I40" s="15" t="n">
        <f aca="false">I24*I32*Assumptions!I$13/Assumptions!$E$5</f>
        <v>0.319444444444444</v>
      </c>
      <c r="J40" s="15" t="n">
        <f aca="false">J24*J32*Assumptions!J$13/Assumptions!$E$5</f>
        <v>0.319444444444444</v>
      </c>
      <c r="K40" s="15" t="n">
        <f aca="false">SUM(G40:J40)</f>
        <v>1.26736111111111</v>
      </c>
    </row>
    <row r="41" customFormat="false" ht="15" hidden="false" customHeight="false" outlineLevel="0" collapsed="false">
      <c r="A41" s="7" t="str">
        <f aca="false">A9</f>
        <v>Depositor 4</v>
      </c>
      <c r="B41" s="7"/>
      <c r="C41" s="7"/>
      <c r="D41" s="7"/>
      <c r="E41" s="7"/>
      <c r="F41" s="15" t="n">
        <f aca="false">F25*F33*Assumptions!F$13/Assumptions!$E$5</f>
        <v>0</v>
      </c>
      <c r="G41" s="15" t="n">
        <f aca="false">G25*G33*Assumptions!G$13/Assumptions!$E$5</f>
        <v>0</v>
      </c>
      <c r="H41" s="15" t="n">
        <f aca="false">H25*H33*Assumptions!H$13/Assumptions!$E$5</f>
        <v>0</v>
      </c>
      <c r="I41" s="15" t="n">
        <f aca="false">I25*I33*Assumptions!I$13/Assumptions!$E$5</f>
        <v>0</v>
      </c>
      <c r="J41" s="15" t="n">
        <f aca="false">J25*J33*Assumptions!J$13/Assumptions!$E$5</f>
        <v>0</v>
      </c>
      <c r="K41" s="15" t="n">
        <f aca="false">SUM(G41:J41)</f>
        <v>0</v>
      </c>
    </row>
    <row r="42" customFormat="false" ht="15" hidden="false" customHeight="false" outlineLevel="0" collapsed="false">
      <c r="A42" s="7" t="str">
        <f aca="false">A10</f>
        <v>Depositor 5</v>
      </c>
      <c r="B42" s="7"/>
      <c r="C42" s="7"/>
      <c r="D42" s="7"/>
      <c r="E42" s="7"/>
      <c r="F42" s="15" t="n">
        <f aca="false">F26*F34*Assumptions!F$13/Assumptions!$E$5</f>
        <v>0</v>
      </c>
      <c r="G42" s="15" t="n">
        <f aca="false">G26*G34*Assumptions!G$13/Assumptions!$E$5</f>
        <v>0</v>
      </c>
      <c r="H42" s="15" t="n">
        <f aca="false">H26*H34*Assumptions!H$13/Assumptions!$E$5</f>
        <v>0</v>
      </c>
      <c r="I42" s="15" t="n">
        <f aca="false">I26*I34*Assumptions!I$13/Assumptions!$E$5</f>
        <v>0</v>
      </c>
      <c r="J42" s="15" t="n">
        <f aca="false">J26*J34*Assumptions!J$13/Assumptions!$E$5</f>
        <v>0</v>
      </c>
      <c r="K42" s="15" t="n">
        <f aca="false">SUM(G42:J42)</f>
        <v>0</v>
      </c>
    </row>
    <row r="43" customFormat="false" ht="15" hidden="false" customHeight="false" outlineLevel="0" collapsed="false">
      <c r="A43" s="32" t="s">
        <v>91</v>
      </c>
      <c r="B43" s="32"/>
      <c r="C43" s="32"/>
      <c r="D43" s="32"/>
      <c r="E43" s="32"/>
      <c r="F43" s="34" t="n">
        <f aca="false">SUM(F38:F42)</f>
        <v>16.3491666666667</v>
      </c>
      <c r="G43" s="34" t="n">
        <f aca="false">SUM(G38:G42)</f>
        <v>16.1875</v>
      </c>
      <c r="H43" s="34" t="n">
        <f aca="false">SUM(H38:H42)</f>
        <v>15.1161111111111</v>
      </c>
      <c r="I43" s="34" t="n">
        <f aca="false">SUM(I38:I42)</f>
        <v>14.3143055555556</v>
      </c>
      <c r="J43" s="34" t="n">
        <f aca="false">SUM(J38:J42)</f>
        <v>14.5219444444444</v>
      </c>
      <c r="K43" s="34" t="n">
        <f aca="false">SUM(K38:K42)</f>
        <v>60.1398611111111</v>
      </c>
    </row>
  </sheetData>
  <dataValidations count="1">
    <dataValidation allowBlank="true" errorStyle="stop" operator="between" showDropDown="false" showErrorMessage="false" showInputMessage="false" sqref="B6:B10" type="list">
      <formula1>"Fixed,Floating"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2026-09-24T02:16:14Z</dcterms:created>
  <dc:creator>openpyxl</dc:creator>
  <dc:description/>
  <dc:language>en-US</dc:language>
  <cp:lastModifiedBy/>
  <dcterms:modified xsi:type="dcterms:W3CDTF">2026-09-24T02:16:14Z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